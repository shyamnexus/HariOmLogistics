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3256" windowHeight="13176" tabRatio="500"/>
  </bookViews>
  <sheets>
    <sheet name="vehicle details" sheetId="1" r:id="rId1"/>
    <sheet name="PAYMENT" sheetId="2" r:id="rId2"/>
    <sheet name="PUMP" sheetId="3" r:id="rId3"/>
    <sheet name="Sheet1" sheetId="4" r:id="rId4"/>
  </sheets>
  <definedNames>
    <definedName name="_xlnm._FilterDatabase" localSheetId="0" hidden="1">'vehicle details'!$A$2:$O$252</definedName>
  </definedNames>
  <calcPr calcId="144525"/>
</workbook>
</file>

<file path=xl/calcChain.xml><?xml version="1.0" encoding="utf-8"?>
<calcChain xmlns="http://schemas.openxmlformats.org/spreadsheetml/2006/main">
  <c r="G6" i="4" l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5" i="4"/>
  <c r="G4" i="4"/>
  <c r="E5" i="4"/>
  <c r="E6" i="4"/>
  <c r="E7" i="4"/>
  <c r="E8" i="4"/>
  <c r="E9" i="4"/>
  <c r="E10" i="4"/>
  <c r="E11" i="4"/>
  <c r="E12" i="4"/>
  <c r="E13" i="4"/>
  <c r="E14" i="4"/>
  <c r="E4" i="4"/>
  <c r="M17" i="4"/>
  <c r="M18" i="4"/>
  <c r="L245" i="1" l="1"/>
  <c r="O245" i="1" s="1"/>
  <c r="L244" i="1"/>
  <c r="O244" i="1" s="1"/>
  <c r="I253" i="1" l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56" i="1"/>
  <c r="L253" i="1" l="1"/>
  <c r="O253" i="1" s="1"/>
  <c r="L254" i="1"/>
  <c r="O254" i="1" s="1"/>
  <c r="L255" i="1"/>
  <c r="O255" i="1" s="1"/>
  <c r="L256" i="1"/>
  <c r="O256" i="1" s="1"/>
  <c r="L257" i="1"/>
  <c r="O257" i="1" s="1"/>
  <c r="L258" i="1"/>
  <c r="O258" i="1" s="1"/>
  <c r="L259" i="1"/>
  <c r="O259" i="1" s="1"/>
  <c r="L260" i="1"/>
  <c r="O260" i="1" s="1"/>
  <c r="L261" i="1"/>
  <c r="O261" i="1" s="1"/>
  <c r="L262" i="1"/>
  <c r="O262" i="1" s="1"/>
  <c r="L263" i="1"/>
  <c r="O263" i="1" s="1"/>
  <c r="L264" i="1"/>
  <c r="O264" i="1" s="1"/>
  <c r="L265" i="1"/>
  <c r="O265" i="1" s="1"/>
  <c r="L266" i="1"/>
  <c r="O266" i="1" s="1"/>
  <c r="L267" i="1"/>
  <c r="O267" i="1" s="1"/>
  <c r="L268" i="1"/>
  <c r="O268" i="1" s="1"/>
  <c r="L269" i="1"/>
  <c r="O269" i="1" s="1"/>
  <c r="L270" i="1"/>
  <c r="L271" i="1"/>
  <c r="O271" i="1" s="1"/>
  <c r="L272" i="1"/>
  <c r="O272" i="1" s="1"/>
  <c r="L273" i="1"/>
  <c r="O273" i="1" s="1"/>
  <c r="L274" i="1"/>
  <c r="O274" i="1" s="1"/>
  <c r="L275" i="1"/>
  <c r="O275" i="1" s="1"/>
  <c r="L276" i="1"/>
  <c r="O276" i="1" s="1"/>
  <c r="L277" i="1"/>
  <c r="O277" i="1" s="1"/>
  <c r="L278" i="1"/>
  <c r="O278" i="1" s="1"/>
  <c r="L279" i="1"/>
  <c r="O279" i="1" s="1"/>
  <c r="L280" i="1"/>
  <c r="O280" i="1" s="1"/>
  <c r="L281" i="1"/>
  <c r="O281" i="1" s="1"/>
  <c r="L282" i="1"/>
  <c r="O282" i="1" s="1"/>
  <c r="L283" i="1"/>
  <c r="O283" i="1" s="1"/>
  <c r="L284" i="1"/>
  <c r="O284" i="1" s="1"/>
  <c r="L285" i="1"/>
  <c r="O285" i="1" s="1"/>
  <c r="L286" i="1"/>
  <c r="L287" i="1"/>
  <c r="O287" i="1" s="1"/>
  <c r="L288" i="1"/>
  <c r="O288" i="1" s="1"/>
  <c r="L289" i="1"/>
  <c r="O289" i="1" s="1"/>
  <c r="L290" i="1"/>
  <c r="O290" i="1" s="1"/>
  <c r="L291" i="1"/>
  <c r="O291" i="1" s="1"/>
  <c r="L292" i="1"/>
  <c r="O292" i="1" s="1"/>
  <c r="L293" i="1"/>
  <c r="O293" i="1" s="1"/>
  <c r="L294" i="1"/>
  <c r="O294" i="1" s="1"/>
  <c r="L295" i="1"/>
  <c r="O295" i="1" s="1"/>
  <c r="L296" i="1"/>
  <c r="O296" i="1" s="1"/>
  <c r="L297" i="1"/>
  <c r="O297" i="1" s="1"/>
  <c r="L298" i="1"/>
  <c r="O298" i="1" s="1"/>
  <c r="L299" i="1"/>
  <c r="O299" i="1" s="1"/>
  <c r="L300" i="1"/>
  <c r="O300" i="1" s="1"/>
  <c r="L301" i="1"/>
  <c r="O301" i="1" s="1"/>
  <c r="L302" i="1"/>
  <c r="O302" i="1" s="1"/>
  <c r="L303" i="1"/>
  <c r="O303" i="1" s="1"/>
  <c r="L304" i="1"/>
  <c r="O304" i="1" s="1"/>
  <c r="L305" i="1"/>
  <c r="O305" i="1" s="1"/>
  <c r="L306" i="1"/>
  <c r="O306" i="1" s="1"/>
  <c r="L307" i="1"/>
  <c r="O307" i="1" s="1"/>
  <c r="L308" i="1"/>
  <c r="O308" i="1" s="1"/>
  <c r="L309" i="1"/>
  <c r="O309" i="1" s="1"/>
  <c r="L310" i="1"/>
  <c r="O310" i="1" s="1"/>
  <c r="L311" i="1"/>
  <c r="O311" i="1" s="1"/>
  <c r="L312" i="1"/>
  <c r="O312" i="1" s="1"/>
  <c r="L313" i="1"/>
  <c r="O313" i="1" s="1"/>
  <c r="L314" i="1"/>
  <c r="O314" i="1" s="1"/>
  <c r="L315" i="1"/>
  <c r="O315" i="1" s="1"/>
  <c r="L316" i="1"/>
  <c r="O316" i="1" s="1"/>
  <c r="L317" i="1"/>
  <c r="O317" i="1" s="1"/>
  <c r="L318" i="1"/>
  <c r="O318" i="1" s="1"/>
  <c r="L319" i="1"/>
  <c r="O319" i="1" s="1"/>
  <c r="L320" i="1"/>
  <c r="O320" i="1" s="1"/>
  <c r="L321" i="1"/>
  <c r="O321" i="1" s="1"/>
  <c r="L322" i="1"/>
  <c r="O322" i="1" s="1"/>
  <c r="L323" i="1"/>
  <c r="O323" i="1" s="1"/>
  <c r="L324" i="1"/>
  <c r="O324" i="1" s="1"/>
  <c r="L325" i="1"/>
  <c r="O325" i="1" s="1"/>
  <c r="L326" i="1"/>
  <c r="O326" i="1" s="1"/>
  <c r="L327" i="1"/>
  <c r="O327" i="1" s="1"/>
  <c r="L328" i="1"/>
  <c r="O328" i="1" s="1"/>
  <c r="L329" i="1"/>
  <c r="O329" i="1" s="1"/>
  <c r="L330" i="1"/>
  <c r="O330" i="1" s="1"/>
  <c r="L331" i="1"/>
  <c r="O331" i="1" s="1"/>
  <c r="L332" i="1"/>
  <c r="O332" i="1" s="1"/>
  <c r="L333" i="1"/>
  <c r="O333" i="1" s="1"/>
  <c r="L334" i="1"/>
  <c r="O334" i="1" s="1"/>
  <c r="L335" i="1"/>
  <c r="O335" i="1" s="1"/>
  <c r="L336" i="1"/>
  <c r="O336" i="1" s="1"/>
  <c r="L337" i="1"/>
  <c r="O337" i="1" s="1"/>
  <c r="L338" i="1"/>
  <c r="O338" i="1" s="1"/>
  <c r="L339" i="1"/>
  <c r="O339" i="1" s="1"/>
  <c r="L340" i="1"/>
  <c r="O340" i="1" s="1"/>
  <c r="L341" i="1"/>
  <c r="O341" i="1" s="1"/>
  <c r="L342" i="1"/>
  <c r="O342" i="1" s="1"/>
  <c r="L343" i="1"/>
  <c r="O343" i="1" s="1"/>
  <c r="L344" i="1"/>
  <c r="O344" i="1" s="1"/>
  <c r="L345" i="1"/>
  <c r="O345" i="1" s="1"/>
  <c r="L346" i="1"/>
  <c r="O346" i="1" s="1"/>
  <c r="L347" i="1"/>
  <c r="O347" i="1" s="1"/>
  <c r="L348" i="1"/>
  <c r="O348" i="1" s="1"/>
  <c r="L349" i="1"/>
  <c r="O349" i="1" s="1"/>
  <c r="L350" i="1"/>
  <c r="O350" i="1" s="1"/>
  <c r="L351" i="1"/>
  <c r="O351" i="1" s="1"/>
  <c r="L352" i="1"/>
  <c r="O352" i="1" s="1"/>
  <c r="L353" i="1"/>
  <c r="O353" i="1" s="1"/>
  <c r="L354" i="1"/>
  <c r="O354" i="1" s="1"/>
  <c r="L355" i="1"/>
  <c r="O355" i="1" s="1"/>
  <c r="L356" i="1"/>
  <c r="O356" i="1" s="1"/>
  <c r="L357" i="1"/>
  <c r="O357" i="1" s="1"/>
  <c r="L358" i="1"/>
  <c r="O358" i="1" s="1"/>
  <c r="L359" i="1"/>
  <c r="O359" i="1" s="1"/>
  <c r="L360" i="1"/>
  <c r="O360" i="1" s="1"/>
  <c r="L361" i="1"/>
  <c r="O361" i="1" s="1"/>
  <c r="L362" i="1"/>
  <c r="O362" i="1" s="1"/>
  <c r="L363" i="1"/>
  <c r="O363" i="1" s="1"/>
  <c r="L364" i="1"/>
  <c r="O364" i="1" s="1"/>
  <c r="L365" i="1"/>
  <c r="O365" i="1" s="1"/>
  <c r="L366" i="1"/>
  <c r="O366" i="1" s="1"/>
  <c r="L367" i="1"/>
  <c r="O367" i="1" s="1"/>
  <c r="L368" i="1"/>
  <c r="O368" i="1" s="1"/>
  <c r="L369" i="1"/>
  <c r="O369" i="1" s="1"/>
  <c r="L370" i="1"/>
  <c r="O370" i="1" s="1"/>
  <c r="L371" i="1"/>
  <c r="O371" i="1" s="1"/>
  <c r="L372" i="1"/>
  <c r="O372" i="1" s="1"/>
  <c r="L373" i="1"/>
  <c r="O373" i="1" s="1"/>
  <c r="L374" i="1"/>
  <c r="O374" i="1" s="1"/>
  <c r="L375" i="1"/>
  <c r="O375" i="1" s="1"/>
  <c r="L376" i="1"/>
  <c r="O376" i="1" s="1"/>
  <c r="L377" i="1"/>
  <c r="O377" i="1" s="1"/>
  <c r="L378" i="1"/>
  <c r="O378" i="1" s="1"/>
  <c r="L379" i="1"/>
  <c r="O379" i="1" s="1"/>
  <c r="L380" i="1"/>
  <c r="O380" i="1" s="1"/>
  <c r="L381" i="1"/>
  <c r="O381" i="1" s="1"/>
  <c r="L382" i="1"/>
  <c r="O382" i="1" s="1"/>
  <c r="L383" i="1"/>
  <c r="O383" i="1" s="1"/>
  <c r="L384" i="1"/>
  <c r="O384" i="1" s="1"/>
  <c r="L385" i="1"/>
  <c r="O385" i="1" s="1"/>
  <c r="L386" i="1"/>
  <c r="O386" i="1" s="1"/>
  <c r="L387" i="1"/>
  <c r="O387" i="1" s="1"/>
  <c r="L388" i="1"/>
  <c r="O388" i="1" s="1"/>
  <c r="L389" i="1"/>
  <c r="O389" i="1" s="1"/>
  <c r="L390" i="1"/>
  <c r="O390" i="1" s="1"/>
  <c r="L391" i="1"/>
  <c r="O391" i="1" s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O270" i="1"/>
  <c r="O286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L56" i="1"/>
  <c r="O56" i="1" s="1"/>
  <c r="I4" i="1"/>
  <c r="L4" i="1" s="1"/>
  <c r="O4" i="1" s="1"/>
  <c r="I5" i="1"/>
  <c r="L5" i="1" s="1"/>
  <c r="O5" i="1" s="1"/>
  <c r="I6" i="1"/>
  <c r="L6" i="1" s="1"/>
  <c r="O6" i="1" s="1"/>
  <c r="I7" i="1"/>
  <c r="L7" i="1" s="1"/>
  <c r="O7" i="1" s="1"/>
  <c r="I8" i="1"/>
  <c r="L8" i="1" s="1"/>
  <c r="O8" i="1" s="1"/>
  <c r="I9" i="1"/>
  <c r="L9" i="1" s="1"/>
  <c r="O9" i="1" s="1"/>
  <c r="I10" i="1"/>
  <c r="L10" i="1" s="1"/>
  <c r="O10" i="1" s="1"/>
  <c r="I11" i="1"/>
  <c r="L11" i="1" s="1"/>
  <c r="O11" i="1" s="1"/>
  <c r="I12" i="1"/>
  <c r="L12" i="1" s="1"/>
  <c r="O12" i="1" s="1"/>
  <c r="I13" i="1"/>
  <c r="L13" i="1" s="1"/>
  <c r="O13" i="1" s="1"/>
  <c r="I14" i="1"/>
  <c r="L14" i="1" s="1"/>
  <c r="O14" i="1" s="1"/>
  <c r="I15" i="1"/>
  <c r="L15" i="1" s="1"/>
  <c r="O15" i="1" s="1"/>
  <c r="I16" i="1"/>
  <c r="L16" i="1" s="1"/>
  <c r="O16" i="1" s="1"/>
  <c r="I17" i="1"/>
  <c r="L17" i="1" s="1"/>
  <c r="O17" i="1" s="1"/>
  <c r="I18" i="1"/>
  <c r="L18" i="1" s="1"/>
  <c r="O18" i="1" s="1"/>
  <c r="I19" i="1"/>
  <c r="L19" i="1" s="1"/>
  <c r="O19" i="1" s="1"/>
  <c r="I20" i="1"/>
  <c r="L20" i="1" s="1"/>
  <c r="O20" i="1" s="1"/>
  <c r="I21" i="1"/>
  <c r="L21" i="1" s="1"/>
  <c r="O21" i="1" s="1"/>
  <c r="I22" i="1"/>
  <c r="L22" i="1" s="1"/>
  <c r="O22" i="1" s="1"/>
  <c r="I23" i="1"/>
  <c r="L23" i="1" s="1"/>
  <c r="O23" i="1" s="1"/>
  <c r="I24" i="1"/>
  <c r="L24" i="1" s="1"/>
  <c r="O24" i="1" s="1"/>
  <c r="I25" i="1"/>
  <c r="L25" i="1" s="1"/>
  <c r="O25" i="1" s="1"/>
  <c r="I26" i="1"/>
  <c r="L26" i="1" s="1"/>
  <c r="O26" i="1" s="1"/>
  <c r="I27" i="1"/>
  <c r="L27" i="1" s="1"/>
  <c r="O27" i="1" s="1"/>
  <c r="I28" i="1"/>
  <c r="L28" i="1" s="1"/>
  <c r="O28" i="1" s="1"/>
  <c r="I29" i="1"/>
  <c r="L29" i="1" s="1"/>
  <c r="O29" i="1" s="1"/>
  <c r="I30" i="1"/>
  <c r="L30" i="1" s="1"/>
  <c r="O30" i="1" s="1"/>
  <c r="I31" i="1"/>
  <c r="L31" i="1" s="1"/>
  <c r="O31" i="1" s="1"/>
  <c r="I32" i="1"/>
  <c r="L32" i="1" s="1"/>
  <c r="O32" i="1" s="1"/>
  <c r="I33" i="1"/>
  <c r="L33" i="1" s="1"/>
  <c r="O33" i="1" s="1"/>
  <c r="I34" i="1"/>
  <c r="L34" i="1" s="1"/>
  <c r="O34" i="1" s="1"/>
  <c r="I35" i="1"/>
  <c r="L35" i="1" s="1"/>
  <c r="O35" i="1" s="1"/>
  <c r="I36" i="1"/>
  <c r="L36" i="1" s="1"/>
  <c r="O36" i="1" s="1"/>
  <c r="I37" i="1"/>
  <c r="L37" i="1" s="1"/>
  <c r="O37" i="1" s="1"/>
  <c r="I38" i="1"/>
  <c r="L38" i="1" s="1"/>
  <c r="O38" i="1" s="1"/>
  <c r="I39" i="1"/>
  <c r="L39" i="1" s="1"/>
  <c r="O39" i="1" s="1"/>
  <c r="I40" i="1"/>
  <c r="L40" i="1" s="1"/>
  <c r="O40" i="1" s="1"/>
  <c r="I41" i="1"/>
  <c r="L41" i="1" s="1"/>
  <c r="O41" i="1" s="1"/>
  <c r="I42" i="1"/>
  <c r="L42" i="1" s="1"/>
  <c r="O42" i="1" s="1"/>
  <c r="I43" i="1"/>
  <c r="L43" i="1" s="1"/>
  <c r="O43" i="1" s="1"/>
  <c r="I44" i="1"/>
  <c r="L44" i="1" s="1"/>
  <c r="O44" i="1" s="1"/>
  <c r="I45" i="1"/>
  <c r="L45" i="1" s="1"/>
  <c r="O45" i="1" s="1"/>
  <c r="I46" i="1"/>
  <c r="L46" i="1" s="1"/>
  <c r="O46" i="1" s="1"/>
  <c r="I47" i="1"/>
  <c r="I48" i="1"/>
  <c r="L48" i="1" s="1"/>
  <c r="O48" i="1" s="1"/>
  <c r="I49" i="1"/>
  <c r="L49" i="1" s="1"/>
  <c r="O49" i="1" s="1"/>
  <c r="I50" i="1"/>
  <c r="L50" i="1" s="1"/>
  <c r="O50" i="1" s="1"/>
  <c r="I51" i="1"/>
  <c r="L51" i="1" s="1"/>
  <c r="O51" i="1" s="1"/>
  <c r="I52" i="1"/>
  <c r="L52" i="1" s="1"/>
  <c r="O52" i="1" s="1"/>
  <c r="I53" i="1"/>
  <c r="L53" i="1" s="1"/>
  <c r="O53" i="1" s="1"/>
  <c r="I54" i="1"/>
  <c r="L54" i="1" s="1"/>
  <c r="O54" i="1" s="1"/>
  <c r="I55" i="1"/>
  <c r="L55" i="1" s="1"/>
  <c r="O55" i="1" s="1"/>
  <c r="I57" i="1"/>
  <c r="L57" i="1" s="1"/>
  <c r="O57" i="1" s="1"/>
  <c r="I58" i="1"/>
  <c r="L58" i="1" s="1"/>
  <c r="O58" i="1" s="1"/>
  <c r="I59" i="1"/>
  <c r="L59" i="1" s="1"/>
  <c r="O59" i="1" s="1"/>
  <c r="I60" i="1"/>
  <c r="L60" i="1" s="1"/>
  <c r="O60" i="1" s="1"/>
  <c r="I61" i="1"/>
  <c r="L61" i="1" s="1"/>
  <c r="O61" i="1" s="1"/>
  <c r="I62" i="1"/>
  <c r="L62" i="1" s="1"/>
  <c r="O62" i="1" s="1"/>
  <c r="I63" i="1"/>
  <c r="L63" i="1" s="1"/>
  <c r="O63" i="1" s="1"/>
  <c r="I64" i="1"/>
  <c r="L64" i="1" s="1"/>
  <c r="O64" i="1" s="1"/>
  <c r="I65" i="1"/>
  <c r="L65" i="1" s="1"/>
  <c r="O65" i="1" s="1"/>
  <c r="I66" i="1"/>
  <c r="L66" i="1" s="1"/>
  <c r="O66" i="1" s="1"/>
  <c r="I67" i="1"/>
  <c r="L67" i="1" s="1"/>
  <c r="O67" i="1" s="1"/>
  <c r="I68" i="1"/>
  <c r="L68" i="1" s="1"/>
  <c r="O68" i="1" s="1"/>
  <c r="I69" i="1"/>
  <c r="L69" i="1" s="1"/>
  <c r="O69" i="1" s="1"/>
  <c r="I70" i="1"/>
  <c r="L70" i="1" s="1"/>
  <c r="O70" i="1" s="1"/>
  <c r="I71" i="1"/>
  <c r="L71" i="1" s="1"/>
  <c r="O71" i="1" s="1"/>
  <c r="I72" i="1"/>
  <c r="L72" i="1" s="1"/>
  <c r="O72" i="1" s="1"/>
  <c r="I73" i="1"/>
  <c r="L73" i="1" s="1"/>
  <c r="O73" i="1" s="1"/>
  <c r="I74" i="1"/>
  <c r="L74" i="1" s="1"/>
  <c r="O74" i="1" s="1"/>
  <c r="I75" i="1"/>
  <c r="L75" i="1" s="1"/>
  <c r="O75" i="1" s="1"/>
  <c r="I76" i="1"/>
  <c r="L76" i="1" s="1"/>
  <c r="O76" i="1" s="1"/>
  <c r="I77" i="1"/>
  <c r="L77" i="1" s="1"/>
  <c r="O77" i="1" s="1"/>
  <c r="I78" i="1"/>
  <c r="L78" i="1" s="1"/>
  <c r="O78" i="1" s="1"/>
  <c r="I79" i="1"/>
  <c r="L79" i="1" s="1"/>
  <c r="O79" i="1" s="1"/>
  <c r="I80" i="1"/>
  <c r="L80" i="1" s="1"/>
  <c r="O80" i="1" s="1"/>
  <c r="I81" i="1"/>
  <c r="L81" i="1" s="1"/>
  <c r="O81" i="1" s="1"/>
  <c r="I82" i="1"/>
  <c r="L82" i="1" s="1"/>
  <c r="O82" i="1" s="1"/>
  <c r="I83" i="1"/>
  <c r="L83" i="1" s="1"/>
  <c r="O83" i="1" s="1"/>
  <c r="I84" i="1"/>
  <c r="L84" i="1" s="1"/>
  <c r="O84" i="1" s="1"/>
  <c r="I85" i="1"/>
  <c r="L85" i="1" s="1"/>
  <c r="O85" i="1" s="1"/>
  <c r="I86" i="1"/>
  <c r="L86" i="1" s="1"/>
  <c r="O86" i="1" s="1"/>
  <c r="I87" i="1"/>
  <c r="L87" i="1" s="1"/>
  <c r="O87" i="1" s="1"/>
  <c r="I88" i="1"/>
  <c r="L88" i="1" s="1"/>
  <c r="O88" i="1" s="1"/>
  <c r="I89" i="1"/>
  <c r="L89" i="1" s="1"/>
  <c r="O89" i="1" s="1"/>
  <c r="I90" i="1"/>
  <c r="L90" i="1" s="1"/>
  <c r="O90" i="1" s="1"/>
  <c r="I91" i="1"/>
  <c r="L91" i="1" s="1"/>
  <c r="O91" i="1" s="1"/>
  <c r="I92" i="1"/>
  <c r="L92" i="1" s="1"/>
  <c r="O92" i="1" s="1"/>
  <c r="I93" i="1"/>
  <c r="L93" i="1" s="1"/>
  <c r="O93" i="1" s="1"/>
  <c r="I94" i="1"/>
  <c r="L94" i="1" s="1"/>
  <c r="O94" i="1" s="1"/>
  <c r="I95" i="1"/>
  <c r="L95" i="1" s="1"/>
  <c r="O95" i="1" s="1"/>
  <c r="I96" i="1"/>
  <c r="L96" i="1" s="1"/>
  <c r="O96" i="1" s="1"/>
  <c r="I97" i="1"/>
  <c r="L97" i="1" s="1"/>
  <c r="O97" i="1" s="1"/>
  <c r="I98" i="1"/>
  <c r="L98" i="1" s="1"/>
  <c r="O98" i="1" s="1"/>
  <c r="I99" i="1"/>
  <c r="L99" i="1" s="1"/>
  <c r="O99" i="1" s="1"/>
  <c r="I100" i="1"/>
  <c r="L100" i="1" s="1"/>
  <c r="O100" i="1" s="1"/>
  <c r="I101" i="1"/>
  <c r="L101" i="1" s="1"/>
  <c r="O101" i="1" s="1"/>
  <c r="I102" i="1"/>
  <c r="L102" i="1" s="1"/>
  <c r="O102" i="1" s="1"/>
  <c r="I103" i="1"/>
  <c r="L103" i="1" s="1"/>
  <c r="O103" i="1" s="1"/>
  <c r="I104" i="1"/>
  <c r="L104" i="1" s="1"/>
  <c r="O104" i="1" s="1"/>
  <c r="I105" i="1"/>
  <c r="L105" i="1" s="1"/>
  <c r="O105" i="1" s="1"/>
  <c r="I106" i="1"/>
  <c r="L106" i="1" s="1"/>
  <c r="O106" i="1" s="1"/>
  <c r="I107" i="1"/>
  <c r="L107" i="1" s="1"/>
  <c r="O107" i="1" s="1"/>
  <c r="I108" i="1"/>
  <c r="L108" i="1" s="1"/>
  <c r="O108" i="1" s="1"/>
  <c r="I109" i="1"/>
  <c r="L109" i="1" s="1"/>
  <c r="O109" i="1" s="1"/>
  <c r="I110" i="1"/>
  <c r="L110" i="1" s="1"/>
  <c r="O110" i="1" s="1"/>
  <c r="I111" i="1"/>
  <c r="L111" i="1" s="1"/>
  <c r="O111" i="1" s="1"/>
  <c r="I112" i="1"/>
  <c r="L112" i="1" s="1"/>
  <c r="O112" i="1" s="1"/>
  <c r="I113" i="1"/>
  <c r="L113" i="1" s="1"/>
  <c r="O113" i="1" s="1"/>
  <c r="I114" i="1"/>
  <c r="L114" i="1" s="1"/>
  <c r="O114" i="1" s="1"/>
  <c r="I115" i="1"/>
  <c r="L115" i="1" s="1"/>
  <c r="O115" i="1" s="1"/>
  <c r="I116" i="1"/>
  <c r="L116" i="1" s="1"/>
  <c r="O116" i="1" s="1"/>
  <c r="I117" i="1"/>
  <c r="L117" i="1" s="1"/>
  <c r="O117" i="1" s="1"/>
  <c r="I118" i="1"/>
  <c r="L118" i="1" s="1"/>
  <c r="O118" i="1" s="1"/>
  <c r="I119" i="1"/>
  <c r="L119" i="1" s="1"/>
  <c r="O119" i="1" s="1"/>
  <c r="I120" i="1"/>
  <c r="L120" i="1" s="1"/>
  <c r="O120" i="1" s="1"/>
  <c r="I121" i="1"/>
  <c r="L121" i="1" s="1"/>
  <c r="O121" i="1" s="1"/>
  <c r="I122" i="1"/>
  <c r="L122" i="1" s="1"/>
  <c r="O122" i="1" s="1"/>
  <c r="I123" i="1"/>
  <c r="L123" i="1" s="1"/>
  <c r="O123" i="1" s="1"/>
  <c r="I124" i="1"/>
  <c r="L124" i="1" s="1"/>
  <c r="O124" i="1" s="1"/>
  <c r="I125" i="1"/>
  <c r="L125" i="1" s="1"/>
  <c r="O125" i="1" s="1"/>
  <c r="I126" i="1"/>
  <c r="L126" i="1" s="1"/>
  <c r="O126" i="1" s="1"/>
  <c r="I127" i="1"/>
  <c r="L127" i="1" s="1"/>
  <c r="O127" i="1" s="1"/>
  <c r="I128" i="1"/>
  <c r="L128" i="1" s="1"/>
  <c r="O128" i="1" s="1"/>
  <c r="I129" i="1"/>
  <c r="L129" i="1" s="1"/>
  <c r="O129" i="1" s="1"/>
  <c r="I130" i="1"/>
  <c r="L130" i="1" s="1"/>
  <c r="O130" i="1" s="1"/>
  <c r="I131" i="1"/>
  <c r="L131" i="1" s="1"/>
  <c r="O131" i="1" s="1"/>
  <c r="I132" i="1"/>
  <c r="L132" i="1" s="1"/>
  <c r="O132" i="1" s="1"/>
  <c r="I133" i="1"/>
  <c r="L133" i="1" s="1"/>
  <c r="O133" i="1" s="1"/>
  <c r="I134" i="1"/>
  <c r="L134" i="1" s="1"/>
  <c r="O134" i="1" s="1"/>
  <c r="I135" i="1"/>
  <c r="L135" i="1" s="1"/>
  <c r="O135" i="1" s="1"/>
  <c r="I136" i="1"/>
  <c r="L136" i="1" s="1"/>
  <c r="O136" i="1" s="1"/>
  <c r="I137" i="1"/>
  <c r="L137" i="1" s="1"/>
  <c r="O137" i="1" s="1"/>
  <c r="I138" i="1"/>
  <c r="L138" i="1" s="1"/>
  <c r="O138" i="1" s="1"/>
  <c r="I139" i="1"/>
  <c r="L139" i="1" s="1"/>
  <c r="O139" i="1" s="1"/>
  <c r="I140" i="1"/>
  <c r="L140" i="1" s="1"/>
  <c r="O140" i="1" s="1"/>
  <c r="I141" i="1"/>
  <c r="L141" i="1" s="1"/>
  <c r="O141" i="1" s="1"/>
  <c r="I142" i="1"/>
  <c r="L142" i="1" s="1"/>
  <c r="O142" i="1" s="1"/>
  <c r="I143" i="1"/>
  <c r="L143" i="1" s="1"/>
  <c r="O143" i="1" s="1"/>
  <c r="I144" i="1"/>
  <c r="L144" i="1" s="1"/>
  <c r="O144" i="1" s="1"/>
  <c r="I145" i="1"/>
  <c r="L145" i="1" s="1"/>
  <c r="O145" i="1" s="1"/>
  <c r="I146" i="1"/>
  <c r="L146" i="1" s="1"/>
  <c r="O146" i="1" s="1"/>
  <c r="I147" i="1"/>
  <c r="L147" i="1" s="1"/>
  <c r="O147" i="1" s="1"/>
  <c r="I148" i="1"/>
  <c r="L148" i="1" s="1"/>
  <c r="O148" i="1" s="1"/>
  <c r="I149" i="1"/>
  <c r="L149" i="1" s="1"/>
  <c r="O149" i="1" s="1"/>
  <c r="I150" i="1"/>
  <c r="L150" i="1" s="1"/>
  <c r="O150" i="1" s="1"/>
  <c r="I151" i="1"/>
  <c r="L151" i="1" s="1"/>
  <c r="O151" i="1" s="1"/>
  <c r="I152" i="1"/>
  <c r="L152" i="1" s="1"/>
  <c r="O152" i="1" s="1"/>
  <c r="I153" i="1"/>
  <c r="L153" i="1" s="1"/>
  <c r="O153" i="1" s="1"/>
  <c r="I154" i="1"/>
  <c r="L154" i="1" s="1"/>
  <c r="O154" i="1" s="1"/>
  <c r="I155" i="1"/>
  <c r="L155" i="1" s="1"/>
  <c r="O155" i="1" s="1"/>
  <c r="I156" i="1"/>
  <c r="L156" i="1" s="1"/>
  <c r="O156" i="1" s="1"/>
  <c r="I157" i="1"/>
  <c r="L157" i="1" s="1"/>
  <c r="O157" i="1" s="1"/>
  <c r="I158" i="1"/>
  <c r="L158" i="1" s="1"/>
  <c r="O158" i="1" s="1"/>
  <c r="I159" i="1"/>
  <c r="L159" i="1" s="1"/>
  <c r="O159" i="1" s="1"/>
  <c r="I160" i="1"/>
  <c r="L160" i="1" s="1"/>
  <c r="O160" i="1" s="1"/>
  <c r="I161" i="1"/>
  <c r="L161" i="1" s="1"/>
  <c r="O161" i="1" s="1"/>
  <c r="I162" i="1"/>
  <c r="L162" i="1" s="1"/>
  <c r="O162" i="1" s="1"/>
  <c r="I163" i="1"/>
  <c r="L163" i="1" s="1"/>
  <c r="O163" i="1" s="1"/>
  <c r="I164" i="1"/>
  <c r="L164" i="1" s="1"/>
  <c r="O164" i="1" s="1"/>
  <c r="I165" i="1"/>
  <c r="L165" i="1" s="1"/>
  <c r="O165" i="1" s="1"/>
  <c r="I166" i="1"/>
  <c r="L166" i="1" s="1"/>
  <c r="O166" i="1" s="1"/>
  <c r="I167" i="1"/>
  <c r="L167" i="1" s="1"/>
  <c r="O167" i="1" s="1"/>
  <c r="I168" i="1"/>
  <c r="L168" i="1" s="1"/>
  <c r="O168" i="1" s="1"/>
  <c r="I169" i="1"/>
  <c r="L169" i="1" s="1"/>
  <c r="O169" i="1" s="1"/>
  <c r="I170" i="1"/>
  <c r="L170" i="1" s="1"/>
  <c r="O170" i="1" s="1"/>
  <c r="I171" i="1"/>
  <c r="L171" i="1" s="1"/>
  <c r="O171" i="1" s="1"/>
  <c r="I172" i="1"/>
  <c r="L172" i="1" s="1"/>
  <c r="O172" i="1" s="1"/>
  <c r="I173" i="1"/>
  <c r="L173" i="1" s="1"/>
  <c r="O173" i="1" s="1"/>
  <c r="I174" i="1"/>
  <c r="L174" i="1" s="1"/>
  <c r="O174" i="1" s="1"/>
  <c r="I175" i="1"/>
  <c r="L175" i="1" s="1"/>
  <c r="O175" i="1" s="1"/>
  <c r="I176" i="1"/>
  <c r="L176" i="1" s="1"/>
  <c r="O176" i="1" s="1"/>
  <c r="I177" i="1"/>
  <c r="L177" i="1" s="1"/>
  <c r="O177" i="1" s="1"/>
  <c r="I178" i="1"/>
  <c r="L178" i="1" s="1"/>
  <c r="O178" i="1" s="1"/>
  <c r="I179" i="1"/>
  <c r="L179" i="1" s="1"/>
  <c r="O179" i="1" s="1"/>
  <c r="I180" i="1"/>
  <c r="L180" i="1" s="1"/>
  <c r="O180" i="1" s="1"/>
  <c r="I181" i="1"/>
  <c r="L181" i="1" s="1"/>
  <c r="O181" i="1" s="1"/>
  <c r="I182" i="1"/>
  <c r="L182" i="1" s="1"/>
  <c r="O182" i="1" s="1"/>
  <c r="I183" i="1"/>
  <c r="L183" i="1" s="1"/>
  <c r="O183" i="1" s="1"/>
  <c r="I184" i="1"/>
  <c r="L184" i="1" s="1"/>
  <c r="O184" i="1" s="1"/>
  <c r="I185" i="1"/>
  <c r="L185" i="1" s="1"/>
  <c r="O185" i="1" s="1"/>
  <c r="I186" i="1"/>
  <c r="L186" i="1" s="1"/>
  <c r="O186" i="1" s="1"/>
  <c r="I187" i="1"/>
  <c r="L187" i="1" s="1"/>
  <c r="O187" i="1" s="1"/>
  <c r="I188" i="1"/>
  <c r="L188" i="1" s="1"/>
  <c r="O188" i="1" s="1"/>
  <c r="I189" i="1"/>
  <c r="L189" i="1" s="1"/>
  <c r="O189" i="1" s="1"/>
  <c r="I190" i="1"/>
  <c r="L190" i="1" s="1"/>
  <c r="O190" i="1" s="1"/>
  <c r="I191" i="1"/>
  <c r="L191" i="1" s="1"/>
  <c r="O191" i="1" s="1"/>
  <c r="I192" i="1"/>
  <c r="L192" i="1" s="1"/>
  <c r="O192" i="1" s="1"/>
  <c r="I193" i="1"/>
  <c r="L193" i="1" s="1"/>
  <c r="O193" i="1" s="1"/>
  <c r="I194" i="1"/>
  <c r="L194" i="1" s="1"/>
  <c r="O194" i="1" s="1"/>
  <c r="I195" i="1"/>
  <c r="L195" i="1" s="1"/>
  <c r="O195" i="1" s="1"/>
  <c r="I196" i="1"/>
  <c r="L196" i="1" s="1"/>
  <c r="O196" i="1" s="1"/>
  <c r="I197" i="1"/>
  <c r="L197" i="1" s="1"/>
  <c r="O197" i="1" s="1"/>
  <c r="I198" i="1"/>
  <c r="L198" i="1" s="1"/>
  <c r="O198" i="1" s="1"/>
  <c r="I199" i="1"/>
  <c r="L199" i="1" s="1"/>
  <c r="O199" i="1" s="1"/>
  <c r="I200" i="1"/>
  <c r="L200" i="1" s="1"/>
  <c r="O200" i="1" s="1"/>
  <c r="I201" i="1"/>
  <c r="L201" i="1" s="1"/>
  <c r="O201" i="1" s="1"/>
  <c r="I202" i="1"/>
  <c r="L202" i="1" s="1"/>
  <c r="O202" i="1" s="1"/>
  <c r="I203" i="1"/>
  <c r="L203" i="1" s="1"/>
  <c r="O203" i="1" s="1"/>
  <c r="I204" i="1"/>
  <c r="L204" i="1" s="1"/>
  <c r="O204" i="1" s="1"/>
  <c r="I205" i="1"/>
  <c r="L205" i="1" s="1"/>
  <c r="O205" i="1" s="1"/>
  <c r="I206" i="1"/>
  <c r="L206" i="1" s="1"/>
  <c r="O206" i="1" s="1"/>
  <c r="I207" i="1"/>
  <c r="L207" i="1" s="1"/>
  <c r="O207" i="1" s="1"/>
  <c r="I208" i="1"/>
  <c r="L208" i="1" s="1"/>
  <c r="O208" i="1" s="1"/>
  <c r="I209" i="1"/>
  <c r="L209" i="1" s="1"/>
  <c r="O209" i="1" s="1"/>
  <c r="I210" i="1"/>
  <c r="L210" i="1" s="1"/>
  <c r="O210" i="1" s="1"/>
  <c r="I211" i="1"/>
  <c r="L211" i="1" s="1"/>
  <c r="O211" i="1" s="1"/>
  <c r="I212" i="1"/>
  <c r="L212" i="1" s="1"/>
  <c r="O212" i="1" s="1"/>
  <c r="I213" i="1"/>
  <c r="L213" i="1" s="1"/>
  <c r="O213" i="1" s="1"/>
  <c r="I214" i="1"/>
  <c r="L214" i="1" s="1"/>
  <c r="O214" i="1" s="1"/>
  <c r="I215" i="1"/>
  <c r="L215" i="1" s="1"/>
  <c r="O215" i="1" s="1"/>
  <c r="I216" i="1"/>
  <c r="L216" i="1" s="1"/>
  <c r="O216" i="1" s="1"/>
  <c r="I217" i="1"/>
  <c r="L217" i="1" s="1"/>
  <c r="O217" i="1" s="1"/>
  <c r="I218" i="1"/>
  <c r="L218" i="1" s="1"/>
  <c r="O218" i="1" s="1"/>
  <c r="I219" i="1"/>
  <c r="L219" i="1" s="1"/>
  <c r="O219" i="1" s="1"/>
  <c r="I220" i="1"/>
  <c r="L220" i="1" s="1"/>
  <c r="O220" i="1" s="1"/>
  <c r="I221" i="1"/>
  <c r="L221" i="1" s="1"/>
  <c r="O221" i="1" s="1"/>
  <c r="I222" i="1"/>
  <c r="L222" i="1" s="1"/>
  <c r="O222" i="1" s="1"/>
  <c r="I223" i="1"/>
  <c r="L223" i="1" s="1"/>
  <c r="O223" i="1" s="1"/>
  <c r="I224" i="1"/>
  <c r="L224" i="1" s="1"/>
  <c r="O224" i="1" s="1"/>
  <c r="I225" i="1"/>
  <c r="L225" i="1" s="1"/>
  <c r="O225" i="1" s="1"/>
  <c r="I226" i="1"/>
  <c r="L226" i="1" s="1"/>
  <c r="O226" i="1" s="1"/>
  <c r="I227" i="1"/>
  <c r="L227" i="1" s="1"/>
  <c r="O227" i="1" s="1"/>
  <c r="I228" i="1"/>
  <c r="L228" i="1" s="1"/>
  <c r="O228" i="1" s="1"/>
  <c r="I229" i="1"/>
  <c r="L229" i="1" s="1"/>
  <c r="O229" i="1" s="1"/>
  <c r="I230" i="1"/>
  <c r="L230" i="1" s="1"/>
  <c r="O230" i="1" s="1"/>
  <c r="I231" i="1"/>
  <c r="L231" i="1" s="1"/>
  <c r="O231" i="1" s="1"/>
  <c r="I232" i="1"/>
  <c r="L232" i="1" s="1"/>
  <c r="O232" i="1" s="1"/>
  <c r="I233" i="1"/>
  <c r="L233" i="1" s="1"/>
  <c r="O233" i="1" s="1"/>
  <c r="I234" i="1"/>
  <c r="L234" i="1" s="1"/>
  <c r="O234" i="1" s="1"/>
  <c r="I235" i="1"/>
  <c r="L235" i="1" s="1"/>
  <c r="O235" i="1" s="1"/>
  <c r="I236" i="1"/>
  <c r="L236" i="1" s="1"/>
  <c r="O236" i="1" s="1"/>
  <c r="I237" i="1"/>
  <c r="L237" i="1" s="1"/>
  <c r="O237" i="1" s="1"/>
  <c r="I238" i="1"/>
  <c r="L238" i="1" s="1"/>
  <c r="O238" i="1" s="1"/>
  <c r="I239" i="1"/>
  <c r="L239" i="1" s="1"/>
  <c r="O239" i="1" s="1"/>
  <c r="I240" i="1"/>
  <c r="L240" i="1" s="1"/>
  <c r="O240" i="1" s="1"/>
  <c r="I241" i="1"/>
  <c r="L241" i="1" s="1"/>
  <c r="O241" i="1" s="1"/>
  <c r="I242" i="1"/>
  <c r="L242" i="1" s="1"/>
  <c r="O242" i="1" s="1"/>
  <c r="I243" i="1"/>
  <c r="L243" i="1" s="1"/>
  <c r="O243" i="1" s="1"/>
  <c r="I246" i="1"/>
  <c r="L246" i="1" s="1"/>
  <c r="O246" i="1" s="1"/>
  <c r="I247" i="1"/>
  <c r="L247" i="1" s="1"/>
  <c r="O247" i="1" s="1"/>
  <c r="I248" i="1"/>
  <c r="L248" i="1" s="1"/>
  <c r="O248" i="1" s="1"/>
  <c r="I249" i="1"/>
  <c r="L249" i="1" s="1"/>
  <c r="O249" i="1" s="1"/>
  <c r="I250" i="1"/>
  <c r="L250" i="1" s="1"/>
  <c r="O250" i="1" s="1"/>
  <c r="I251" i="1"/>
  <c r="L251" i="1" s="1"/>
  <c r="O251" i="1" s="1"/>
  <c r="I252" i="1"/>
  <c r="L252" i="1" s="1"/>
  <c r="O252" i="1" s="1"/>
  <c r="I3" i="1"/>
  <c r="L3" i="1" s="1"/>
  <c r="O3" i="1" s="1"/>
  <c r="L47" i="1" l="1"/>
  <c r="O47" i="1" s="1"/>
</calcChain>
</file>

<file path=xl/sharedStrings.xml><?xml version="1.0" encoding="utf-8"?>
<sst xmlns="http://schemas.openxmlformats.org/spreadsheetml/2006/main" count="1456" uniqueCount="534">
  <si>
    <t>LR No</t>
  </si>
  <si>
    <t>Sold To Party</t>
  </si>
  <si>
    <t>Destination</t>
  </si>
  <si>
    <t>Truck No</t>
  </si>
  <si>
    <t>Quantity</t>
  </si>
  <si>
    <t>02</t>
  </si>
  <si>
    <t>2026-05-30 02:05:14</t>
  </si>
  <si>
    <t>TAMEER TRADERS</t>
  </si>
  <si>
    <t>SHAHJHANPUR</t>
  </si>
  <si>
    <t>UP25JT8804</t>
  </si>
  <si>
    <t>04</t>
  </si>
  <si>
    <t>2026-05-30 13:05:01</t>
  </si>
  <si>
    <t>JUNEJA TRADERS</t>
  </si>
  <si>
    <t>BUDAUN</t>
  </si>
  <si>
    <t>UP25CT2572</t>
  </si>
  <si>
    <t>03</t>
  </si>
  <si>
    <t>2026-05-30 03:05:17</t>
  </si>
  <si>
    <t>JAI BHARAT ENTERPRISES (SIS)</t>
  </si>
  <si>
    <t>SHAHBAZ NAGAR</t>
  </si>
  <si>
    <t>UP25JT8802</t>
  </si>
  <si>
    <t>01</t>
  </si>
  <si>
    <t>2026-05-30 15:05:06</t>
  </si>
  <si>
    <t>RAFI KHAN BUILDING MATERIAL</t>
  </si>
  <si>
    <t>SHAHBAD (HARDOI)</t>
  </si>
  <si>
    <t>UP25JT8803</t>
  </si>
  <si>
    <t>05</t>
  </si>
  <si>
    <t>2026-05-31 16:05:34</t>
  </si>
  <si>
    <t>KATRA</t>
  </si>
  <si>
    <t>06</t>
  </si>
  <si>
    <t>2026-05-31 16:05:39</t>
  </si>
  <si>
    <t>SHIV TRADING COMPANY</t>
  </si>
  <si>
    <t>NIGOHI</t>
  </si>
  <si>
    <t>07</t>
  </si>
  <si>
    <t>2026-05-31 18:05:55</t>
  </si>
  <si>
    <t>BHARAT FERTILIZERS (SIS)</t>
  </si>
  <si>
    <t>08</t>
  </si>
  <si>
    <t>2026-06-01 18:06:52</t>
  </si>
  <si>
    <t>SHYAM NARAIN RAMESH KUMAR AND  SONS</t>
  </si>
  <si>
    <t>BHOJIPURA</t>
  </si>
  <si>
    <t>09</t>
  </si>
  <si>
    <t>2026-06-01 18:06:24</t>
  </si>
  <si>
    <t>2026-06-01 19:06:49</t>
  </si>
  <si>
    <t>GAFFAR CEMENT STORE</t>
  </si>
  <si>
    <t>UP25CT7099</t>
  </si>
  <si>
    <t>2026-06-02 02:06:41</t>
  </si>
  <si>
    <t>MALBROS INTERNATIONAL PVT LTD</t>
  </si>
  <si>
    <t>KHUDAGANJ (NP)</t>
  </si>
  <si>
    <t>UP25DT1881</t>
  </si>
  <si>
    <t>2026-06-02 01:06:02</t>
  </si>
  <si>
    <t>2026-06-02 02:06:38</t>
  </si>
  <si>
    <t>GOEL DISTRIBUTORS</t>
  </si>
  <si>
    <t>BAREILLY</t>
  </si>
  <si>
    <t>UP25DT5668</t>
  </si>
  <si>
    <t>2026-06-02 02:06:28</t>
  </si>
  <si>
    <t>2026-06-02 19:06:55</t>
  </si>
  <si>
    <t>2026-06-02 19:06:58</t>
  </si>
  <si>
    <t>DUA AGENCIES</t>
  </si>
  <si>
    <t>2026-06-02 21:06:52</t>
  </si>
  <si>
    <t>MITTAL FERTILIZERS</t>
  </si>
  <si>
    <t>FAREEDPUR</t>
  </si>
  <si>
    <t>2026-06-02 22:06:20</t>
  </si>
  <si>
    <t>RAJAU PARASPUR</t>
  </si>
  <si>
    <t>2026-06-02 22:06:51</t>
  </si>
  <si>
    <t>2026-06-03 01:06:38</t>
  </si>
  <si>
    <t>2026-06-03 03:06:21</t>
  </si>
  <si>
    <t>SHREE VASUNDHARA INFRAPROMOTERS</t>
  </si>
  <si>
    <t>RUDRAPUR</t>
  </si>
  <si>
    <t>2026-06-03 13:06:10</t>
  </si>
  <si>
    <t>DADIYA</t>
  </si>
  <si>
    <t>2026-06-03 13:06:47</t>
  </si>
  <si>
    <t>MOHAMMADI</t>
  </si>
  <si>
    <t>2026-06-03 17:06:47</t>
  </si>
  <si>
    <t>KANAN TRADERS</t>
  </si>
  <si>
    <t>KATHGODAM</t>
  </si>
  <si>
    <t>2026-06-03 20:06:52</t>
  </si>
  <si>
    <t>SINGH TRADERS</t>
  </si>
  <si>
    <t>LAKHIMPUR</t>
  </si>
  <si>
    <t>UP25BT7464</t>
  </si>
  <si>
    <t>2026-06-04 15:06:14</t>
  </si>
  <si>
    <t>BARKHERA JAIPAL</t>
  </si>
  <si>
    <t>2026-06-04 16:06:17</t>
  </si>
  <si>
    <t>TILHAR</t>
  </si>
  <si>
    <t>2026-06-04 14:06:56</t>
  </si>
  <si>
    <t>2026-06-04 19:06:02</t>
  </si>
  <si>
    <t>S.P TRADERS</t>
  </si>
  <si>
    <t>PILIBHIT</t>
  </si>
  <si>
    <t>2026-06-04 19:06:33</t>
  </si>
  <si>
    <t>2026-06-05 15:06:33</t>
  </si>
  <si>
    <t>TANDIYAWAN</t>
  </si>
  <si>
    <t>2026-06-05 15:06:55</t>
  </si>
  <si>
    <t>2026-06-06 12:06:21</t>
  </si>
  <si>
    <t>2026-06-06 20:06:52</t>
  </si>
  <si>
    <t>MAURIA BUILDING MATERIAL</t>
  </si>
  <si>
    <t>SHERGARH (BLY)</t>
  </si>
  <si>
    <t>2026-06-06 20:06:42</t>
  </si>
  <si>
    <t>2026-06-06 20:06:34</t>
  </si>
  <si>
    <t>MOHD. AYUB TRADERS</t>
  </si>
  <si>
    <t>MAVAI KAZIYAN</t>
  </si>
  <si>
    <t>2026-06-05 19:06:16</t>
  </si>
  <si>
    <t>BANDA</t>
  </si>
  <si>
    <t>2026-06-06 04:06:49</t>
  </si>
  <si>
    <t>2026-06-06 01:06:39</t>
  </si>
  <si>
    <t>2026-06-06 01:06:03</t>
  </si>
  <si>
    <t>2026-06-06 21:06:52</t>
  </si>
  <si>
    <t>OM PRAKASH KAMAL KUMAR</t>
  </si>
  <si>
    <t>KANNAUJ</t>
  </si>
  <si>
    <t>UP76K7791</t>
  </si>
  <si>
    <t>2026-06-06 23:06:48</t>
  </si>
  <si>
    <t>2026-06-06 21:06:23</t>
  </si>
  <si>
    <t>2026-06-07 00:06:26</t>
  </si>
  <si>
    <t>MISHRA IRON AND CEMENT STORE</t>
  </si>
  <si>
    <t>2026-06-07 00:06:14</t>
  </si>
  <si>
    <t>S S TRADERS AND SUPPLIERS</t>
  </si>
  <si>
    <t>SHAI</t>
  </si>
  <si>
    <t>UP25CT4514</t>
  </si>
  <si>
    <t>2026-06-07 00:06:45</t>
  </si>
  <si>
    <t>FATEHGANJ WEST</t>
  </si>
  <si>
    <t>2026-06-07 14:06:24</t>
  </si>
  <si>
    <t>KANTH (NP)</t>
  </si>
  <si>
    <t>2026-06-07 18:06:24</t>
  </si>
  <si>
    <t>NADELI</t>
  </si>
  <si>
    <t>2026-06-07 16:06:38</t>
  </si>
  <si>
    <t>AMAN CEMENT STORE</t>
  </si>
  <si>
    <t>NAWABGANJ</t>
  </si>
  <si>
    <t>2026-06-07 17:06:11</t>
  </si>
  <si>
    <t>SHIV SHAKTI TRADERS</t>
  </si>
  <si>
    <t>Rajepur</t>
  </si>
  <si>
    <t>UP76K8251</t>
  </si>
  <si>
    <t>2026-06-07 17:06:58</t>
  </si>
  <si>
    <t>2026-06-07 20:06:43</t>
  </si>
  <si>
    <t>CHAWLA ISPAT PVT LTD</t>
  </si>
  <si>
    <t>2026-06-07 20:06:52</t>
  </si>
  <si>
    <t>J.B GANJ</t>
  </si>
  <si>
    <t>2026-06-08 00:06:55</t>
  </si>
  <si>
    <t>R K CEMENT AGENCIES</t>
  </si>
  <si>
    <t>2026-06-08 19:06:08</t>
  </si>
  <si>
    <t>SWASTIK ENTERPRISES</t>
  </si>
  <si>
    <t>PALIYA KALAN</t>
  </si>
  <si>
    <t>2026-06-08 19:06:22</t>
  </si>
  <si>
    <t>S M ENTERPRISES-SIS</t>
  </si>
  <si>
    <t>2026-06-09 06:06:41</t>
  </si>
  <si>
    <t>SAGAR TRADERS</t>
  </si>
  <si>
    <t>2026-06-08 22:06:00</t>
  </si>
  <si>
    <t>BHARAT BUILDERS</t>
  </si>
  <si>
    <t>2026-06-09 02:06:20</t>
  </si>
  <si>
    <t>DURGA BUILDING MATERIAL*</t>
  </si>
  <si>
    <t>2026-06-09 15:06:44</t>
  </si>
  <si>
    <t>2026-06-09 18:06:17</t>
  </si>
  <si>
    <t>GARG CEMENT STORE</t>
  </si>
  <si>
    <t>DUNKA</t>
  </si>
  <si>
    <t>UP27T0919</t>
  </si>
  <si>
    <t>2026-06-09 19:06:15</t>
  </si>
  <si>
    <t>2026-06-09 19:06:56</t>
  </si>
  <si>
    <t>2026-06-10 04:06:01</t>
  </si>
  <si>
    <t>2026-06-09 19:06:59</t>
  </si>
  <si>
    <t>MITAULI</t>
  </si>
  <si>
    <t>UP22T5165</t>
  </si>
  <si>
    <t>2026-06-09 23:06:47</t>
  </si>
  <si>
    <t>PAL TRADERS</t>
  </si>
  <si>
    <t>2026-06-10 04:06:42</t>
  </si>
  <si>
    <t>UP25AT8981</t>
  </si>
  <si>
    <t>2026-06-10 20:06:20</t>
  </si>
  <si>
    <t>2026-06-10 19:06:34</t>
  </si>
  <si>
    <t>NARIYAWAL CEMENT STORE</t>
  </si>
  <si>
    <t>2026-06-10 19:06:14</t>
  </si>
  <si>
    <t>GAURAV ENTERPRISES</t>
  </si>
  <si>
    <t>2026-06-10 20:06:37</t>
  </si>
  <si>
    <t>UP25AT3048</t>
  </si>
  <si>
    <t>2026-06-10 17:06:29</t>
  </si>
  <si>
    <t>POWAYAN</t>
  </si>
  <si>
    <t>2026-06-10 17:06:45</t>
  </si>
  <si>
    <t>2026-06-10 18:06:44</t>
  </si>
  <si>
    <t>2026-06-11 04:06:17</t>
  </si>
  <si>
    <t>ASHOKA BUILDTECH</t>
  </si>
  <si>
    <t>BHUTA</t>
  </si>
  <si>
    <t>2026-06-11 13:06:50</t>
  </si>
  <si>
    <t>2026-06-11 16:06:05</t>
  </si>
  <si>
    <t>AGARWAL CEMENT AGENCIES</t>
  </si>
  <si>
    <t>MILAK</t>
  </si>
  <si>
    <t>2026-06-11 18:06:31</t>
  </si>
  <si>
    <t>ALOK TRADERS</t>
  </si>
  <si>
    <t>BISALPUR</t>
  </si>
  <si>
    <t>2026-06-11 17:06:39</t>
  </si>
  <si>
    <t>2026-06-11 21:06:20</t>
  </si>
  <si>
    <t>MADAAN AGRICULTURE STORE</t>
  </si>
  <si>
    <t>KICHHA</t>
  </si>
  <si>
    <t>2026-06-11 21:06:30</t>
  </si>
  <si>
    <t>2026-06-12 15:06:59</t>
  </si>
  <si>
    <t>2026-06-12 16:06:33</t>
  </si>
  <si>
    <t>2026-06-12 18:06:13</t>
  </si>
  <si>
    <t>PUNJAB TRADERS</t>
  </si>
  <si>
    <t>DEVCHARA</t>
  </si>
  <si>
    <t>UP25DT3530</t>
  </si>
  <si>
    <t>2026-06-12 21:06:46</t>
  </si>
  <si>
    <t>APNA KISHAN KENDRA</t>
  </si>
  <si>
    <t>ALIGANJ (KHERI)</t>
  </si>
  <si>
    <t>2026-06-12 21:06:19</t>
  </si>
  <si>
    <t>PADARIYATULA</t>
  </si>
  <si>
    <t>2026-06-12 23:06:18</t>
  </si>
  <si>
    <t>CHANDRA BUILDING MATERIAL</t>
  </si>
  <si>
    <t>UP25AT6584</t>
  </si>
  <si>
    <t>2026-06-12 23:06:43</t>
  </si>
  <si>
    <t>2026-06-13 01:06:14</t>
  </si>
  <si>
    <t>KHUTAR KHAS</t>
  </si>
  <si>
    <t>2026-06-12 19:06:18</t>
  </si>
  <si>
    <t>MIRZAPUR (BAREILY)</t>
  </si>
  <si>
    <t>2026-06-13 10:06:33</t>
  </si>
  <si>
    <t>SHRADHA TRADERS</t>
  </si>
  <si>
    <t>BAGHAULI</t>
  </si>
  <si>
    <t>2026-06-13 10:06:46</t>
  </si>
  <si>
    <t>2026-06-13 10:06:57</t>
  </si>
  <si>
    <t>2026-06-13 01:06:38</t>
  </si>
  <si>
    <t>2026-06-12 23:06:17</t>
  </si>
  <si>
    <t>SHISHGARH</t>
  </si>
  <si>
    <t>2026-06-12 23:06:13</t>
  </si>
  <si>
    <t>BALLIA (SHJPUR)</t>
  </si>
  <si>
    <t>2026-06-13 17:06:41</t>
  </si>
  <si>
    <t>2026-06-13 14:06:27</t>
  </si>
  <si>
    <t>2026-06-13 17:06:12</t>
  </si>
  <si>
    <t>2026-06-13 16:06:21</t>
  </si>
  <si>
    <t>AGARWAL CEMENT and IRON SUPLIERS</t>
  </si>
  <si>
    <t>2026-06-13 16:06:01</t>
  </si>
  <si>
    <t>2026-06-13 18:06:19</t>
  </si>
  <si>
    <t>HAFIJGANJ</t>
  </si>
  <si>
    <t>UP25BT2915</t>
  </si>
  <si>
    <t>2026-06-13 18:06:10</t>
  </si>
  <si>
    <t>UP26T1707</t>
  </si>
  <si>
    <t>2026-06-13 18:06:43</t>
  </si>
  <si>
    <t>MEERGANJ</t>
  </si>
  <si>
    <t>2026-06-13 20:06:44</t>
  </si>
  <si>
    <t>PARSA KHERA</t>
  </si>
  <si>
    <t>2026-06-13 19:06:42</t>
  </si>
  <si>
    <t>2026-06-13 19:06:02</t>
  </si>
  <si>
    <t>J T STEEL TRADERS</t>
  </si>
  <si>
    <t>2026-06-13 19:06:51</t>
  </si>
  <si>
    <t>2026-06-13 21:06:28</t>
  </si>
  <si>
    <t>JAI BHARAT AGRO AGENCY</t>
  </si>
  <si>
    <t>2026-06-14 15:06:38</t>
  </si>
  <si>
    <t>Tikri</t>
  </si>
  <si>
    <t>2026-06-14 15:06:05</t>
  </si>
  <si>
    <t>AGARWAL TRADERS</t>
  </si>
  <si>
    <t>BHAGWANTAPUR</t>
  </si>
  <si>
    <t>2026-06-14 15:06:13</t>
  </si>
  <si>
    <t>2026-06-14 15:06:10</t>
  </si>
  <si>
    <t>PACHAUNI</t>
  </si>
  <si>
    <t>2026-06-14 16:06:08</t>
  </si>
  <si>
    <t>DEEP BUILDERS</t>
  </si>
  <si>
    <t>2026-06-14 16:06:17</t>
  </si>
  <si>
    <t>2026-06-14 15:06:45</t>
  </si>
  <si>
    <t>PRABHU KRIPA TRADERS</t>
  </si>
  <si>
    <t>SAHORA</t>
  </si>
  <si>
    <t>2026-06-14 19:06:16</t>
  </si>
  <si>
    <t>2026-06-14 19:06:53</t>
  </si>
  <si>
    <t>2026-06-14 21:06:03</t>
  </si>
  <si>
    <t>ROZA</t>
  </si>
  <si>
    <t>2026-06-14 19:06:49</t>
  </si>
  <si>
    <t>2026-06-14 21:06:29</t>
  </si>
  <si>
    <t>VIJAY TRADERS</t>
  </si>
  <si>
    <t>NAWADIA JHADA</t>
  </si>
  <si>
    <t>2026-06-14 21:06:46</t>
  </si>
  <si>
    <t>2026-06-15 17:06:56</t>
  </si>
  <si>
    <t>2026-06-15 20:06:59</t>
  </si>
  <si>
    <t>PHOOLBEHAD</t>
  </si>
  <si>
    <t>2026-06-15 17:06:22</t>
  </si>
  <si>
    <t>SRI RAM IRON and CEMENT MERCHANT</t>
  </si>
  <si>
    <t>2026-06-15 17:06:50</t>
  </si>
  <si>
    <t>2026-06-15 18:06:37</t>
  </si>
  <si>
    <t>2026-06-15 22:06:29</t>
  </si>
  <si>
    <t>2026-06-16 00:06:52</t>
  </si>
  <si>
    <t>ADARSH ENTERPRISES</t>
  </si>
  <si>
    <t>2026-06-15 18:06:01</t>
  </si>
  <si>
    <t>2026-06-15 23:06:55</t>
  </si>
  <si>
    <t>NAVEEN LOHA BHANDAR</t>
  </si>
  <si>
    <t>TUMURKHI</t>
  </si>
  <si>
    <t>2026-06-15 23:06:07</t>
  </si>
  <si>
    <t>2026-06-15 23:06:40</t>
  </si>
  <si>
    <t>2026-06-16 01:06:43</t>
  </si>
  <si>
    <t>GUPTA AND COMPANY</t>
  </si>
  <si>
    <t>UP25CT3782</t>
  </si>
  <si>
    <t>2026-06-16 00:06:23</t>
  </si>
  <si>
    <t>BAJPAI KHAD BHANDAR</t>
  </si>
  <si>
    <t>SIKANDARABAD</t>
  </si>
  <si>
    <t>2026-06-16 16:06:44</t>
  </si>
  <si>
    <t>2026-06-16 16:06:53</t>
  </si>
  <si>
    <t>2026-06-16 18:06:09</t>
  </si>
  <si>
    <t>2026-06-16 18:06:36</t>
  </si>
  <si>
    <t>CHAMPA LAL GUPTA AND SONS</t>
  </si>
  <si>
    <t>UJHANI</t>
  </si>
  <si>
    <t>UP27AT5718</t>
  </si>
  <si>
    <t>2026-06-16 18:06:15</t>
  </si>
  <si>
    <t>2026-06-16 18:06:42</t>
  </si>
  <si>
    <t>2026-06-16 20:06:24</t>
  </si>
  <si>
    <t>UP25DT8397</t>
  </si>
  <si>
    <t>2026-06-16 20:06:09</t>
  </si>
  <si>
    <t>2026-06-16 19:06:10</t>
  </si>
  <si>
    <t>SHIVAM STEELS</t>
  </si>
  <si>
    <t>2026-06-16 19:06:42</t>
  </si>
  <si>
    <t>2026-06-16 19:06:14</t>
  </si>
  <si>
    <t>2026-06-16 21:06:25</t>
  </si>
  <si>
    <t>2026-06-16 19:06:08</t>
  </si>
  <si>
    <t>NEW VERMA TRADING COMPANY</t>
  </si>
  <si>
    <t>2026-06-16 21:06:23</t>
  </si>
  <si>
    <t>ANKIT KUMAR VERMA</t>
  </si>
  <si>
    <t>SITAPUR</t>
  </si>
  <si>
    <t>UP27BT0595</t>
  </si>
  <si>
    <t>2026-06-17 01:06:56</t>
  </si>
  <si>
    <t>R.C. ENTERPRISES</t>
  </si>
  <si>
    <t>2026-06-16 21:06:57</t>
  </si>
  <si>
    <t>2026-06-16 22:06:41</t>
  </si>
  <si>
    <t>2026-06-17 11:06:46</t>
  </si>
  <si>
    <t>2026-06-17 16:06:39</t>
  </si>
  <si>
    <t>2026-06-17 15:06:40</t>
  </si>
  <si>
    <t>2026-06-17 18:06:56</t>
  </si>
  <si>
    <t>GEETA TRADERS</t>
  </si>
  <si>
    <t>BILSANDA</t>
  </si>
  <si>
    <t>2026-06-17 21:06:03</t>
  </si>
  <si>
    <t>2026-06-17 20:06:39</t>
  </si>
  <si>
    <t>2026-06-17 20:06:20</t>
  </si>
  <si>
    <t>SHRI NAVAL JI TRADERS</t>
  </si>
  <si>
    <t>FATEHGANJ EAST</t>
  </si>
  <si>
    <t>2026-06-17 20:06:56</t>
  </si>
  <si>
    <t>2026-06-18 00:06:10</t>
  </si>
  <si>
    <t>2026-06-18 00:06:53</t>
  </si>
  <si>
    <t>2026-06-17 20:06:33</t>
  </si>
  <si>
    <t>2026-06-17 20:06:09</t>
  </si>
  <si>
    <t>2026-06-17 19:06:46</t>
  </si>
  <si>
    <t>NARAIN NAGLA</t>
  </si>
  <si>
    <t>2026-06-17 19:06:28</t>
  </si>
  <si>
    <t>2026-06-17 19:06:21</t>
  </si>
  <si>
    <t>2026-06-17 19:06:03</t>
  </si>
  <si>
    <t>2026-06-19 00:06:35</t>
  </si>
  <si>
    <t>2026-06-17 21:06:13</t>
  </si>
  <si>
    <t>2026-06-18 02:06:18</t>
  </si>
  <si>
    <t>2026-06-18 00:06:27</t>
  </si>
  <si>
    <t>2026-06-18 15:06:15</t>
  </si>
  <si>
    <t>SUPPRIOR IRON STORE</t>
  </si>
  <si>
    <t>MATHURAPUR</t>
  </si>
  <si>
    <t>2026-06-18 15:06:44</t>
  </si>
  <si>
    <t>OM TRIDEV ENTERPRISES</t>
  </si>
  <si>
    <t>2026-06-18 16:06:34</t>
  </si>
  <si>
    <t>NAHIL KHAS</t>
  </si>
  <si>
    <t>2026-06-18 22:06:11</t>
  </si>
  <si>
    <t>CEMENT HOUSE</t>
  </si>
  <si>
    <t>2026-06-18 22:06:03</t>
  </si>
  <si>
    <t>SAINTHAL</t>
  </si>
  <si>
    <t>2026-06-18 22:06:06</t>
  </si>
  <si>
    <t>2026-06-18 16:06:09</t>
  </si>
  <si>
    <t>GARIARANGEEN</t>
  </si>
  <si>
    <t>PRAKASH TRADING COMPANY</t>
  </si>
  <si>
    <t>BILGRAM</t>
  </si>
  <si>
    <t>2026-06-19 00:06:17</t>
  </si>
  <si>
    <t>2026-06-18 23:06:55</t>
  </si>
  <si>
    <t>2026-06-19 12:06:37</t>
  </si>
  <si>
    <t>JAI GURDEV TRADERS</t>
  </si>
  <si>
    <t>2026-06-19 03:06:17</t>
  </si>
  <si>
    <t>KANNOUJIYA CEMENT CENTRE</t>
  </si>
  <si>
    <t>2026-06-19 06:06:56</t>
  </si>
  <si>
    <t>KANNOUJIYA ENTERPRISES</t>
  </si>
  <si>
    <t>2026-06-19 13:06:21</t>
  </si>
  <si>
    <t>SINGHAI KALA</t>
  </si>
  <si>
    <t>2026-06-19 16:06:26</t>
  </si>
  <si>
    <t>2026-06-19 19:06:34</t>
  </si>
  <si>
    <t>PRABAL TRADERS</t>
  </si>
  <si>
    <t>CHHIBRAMAU</t>
  </si>
  <si>
    <t>2026-06-19 19:06:04</t>
  </si>
  <si>
    <t>KANCHAN TRADERS</t>
  </si>
  <si>
    <t>2026-06-19 16:06:47</t>
  </si>
  <si>
    <t>RITHAURA</t>
  </si>
  <si>
    <t>2026-06-19 18:06:54</t>
  </si>
  <si>
    <t>AL HIND ENTERPRISES</t>
  </si>
  <si>
    <t>PAREWA VAISHYA</t>
  </si>
  <si>
    <t>2026-06-19 17:06:28</t>
  </si>
  <si>
    <t>2026-06-19 16:06:21</t>
  </si>
  <si>
    <t>ALAPUR</t>
  </si>
  <si>
    <t>2026-06-20 00:06:03</t>
  </si>
  <si>
    <t>SHAILA ENTERPRISES</t>
  </si>
  <si>
    <t>2026-06-19 21:06:23</t>
  </si>
  <si>
    <t>HAMMAD ENTERPRISES</t>
  </si>
  <si>
    <t>DHOURATANDA</t>
  </si>
  <si>
    <t>2026-06-19 21:06:38</t>
  </si>
  <si>
    <t>NAWAB GANJ - RAMP</t>
  </si>
  <si>
    <t>2026-06-20 07:06:26</t>
  </si>
  <si>
    <t>2026-06-20 00:06:13</t>
  </si>
  <si>
    <t>2026-06-20 07:06:29</t>
  </si>
  <si>
    <t>MALIK TRADERS</t>
  </si>
  <si>
    <t>2026-06-20 15:06:21</t>
  </si>
  <si>
    <t>MIRANPUR KATRA</t>
  </si>
  <si>
    <t>2026-06-20 14:06:45</t>
  </si>
  <si>
    <t>2026-06-20 14:06:25</t>
  </si>
  <si>
    <t>PRAMOD KANT AMIT KUMAR</t>
  </si>
  <si>
    <t>DATAGANJ</t>
  </si>
  <si>
    <t>2026-06-20 17:06:44</t>
  </si>
  <si>
    <t>2026-06-20 17:06:20</t>
  </si>
  <si>
    <t>SUBHAM TRADERS</t>
  </si>
  <si>
    <t>TISUA</t>
  </si>
  <si>
    <t>UP83T5121</t>
  </si>
  <si>
    <t>2026-06-20 19:06:42</t>
  </si>
  <si>
    <t>BARKHAN</t>
  </si>
  <si>
    <t>2026-06-20 20:06:36</t>
  </si>
  <si>
    <t>2026-06-20 20:06:13</t>
  </si>
  <si>
    <t>2026-06-20 19:06:13</t>
  </si>
  <si>
    <t>2026-06-20 23:06:10</t>
  </si>
  <si>
    <t>2026-06-20 23:06:42</t>
  </si>
  <si>
    <t>2026-06-20 21:06:50</t>
  </si>
  <si>
    <t>RADHEY KRISHNA TRADERS</t>
  </si>
  <si>
    <t>RUPAPUR (HARDOI)</t>
  </si>
  <si>
    <t>2026-06-20 21:06:34</t>
  </si>
  <si>
    <t>SAMERER</t>
  </si>
  <si>
    <t>2026-06-20 23:06:52</t>
  </si>
  <si>
    <t>2026-06-20 22:06:35</t>
  </si>
  <si>
    <t>2026-06-21 15:06:58</t>
  </si>
  <si>
    <t>MAYA MARKETING AGENCY</t>
  </si>
  <si>
    <t>MUKARRAMPUR</t>
  </si>
  <si>
    <t>2026-06-21 16:06:11</t>
  </si>
  <si>
    <t>GANI ENTERPRISES</t>
  </si>
  <si>
    <t>TILMAS</t>
  </si>
  <si>
    <t>2026-06-21 17:06:56</t>
  </si>
  <si>
    <t>FAIZNAGAR</t>
  </si>
  <si>
    <t>2026-06-21 17:06:34</t>
  </si>
  <si>
    <t>M S TRADING COMPANY (SIS)</t>
  </si>
  <si>
    <t>2026-06-21 17:06:16</t>
  </si>
  <si>
    <t>2026-06-21 19:06:35</t>
  </si>
  <si>
    <t>LAKHA</t>
  </si>
  <si>
    <t>2026-06-22 16:06:45</t>
  </si>
  <si>
    <t>2026-06-22 00:06:57</t>
  </si>
  <si>
    <t>2026-06-21 19:06:00</t>
  </si>
  <si>
    <t>PAWAN TRADERS</t>
  </si>
  <si>
    <t>2026-06-21 20:06:30</t>
  </si>
  <si>
    <t>2026-06-22 03:06:47</t>
  </si>
  <si>
    <t>2026-06-22 03:06:56</t>
  </si>
  <si>
    <t>2026-06-22 02:06:45</t>
  </si>
  <si>
    <t>2026-06-22 00:06:54</t>
  </si>
  <si>
    <t>2026-06-22 02:06:52</t>
  </si>
  <si>
    <t>2026-06-22 02:06:22</t>
  </si>
  <si>
    <t>2026-06-22 02:06:51</t>
  </si>
  <si>
    <t>2026-06-22 05:06:14</t>
  </si>
  <si>
    <t>2026-06-22 05:06:44</t>
  </si>
  <si>
    <t>2026-06-22 05:06:10</t>
  </si>
  <si>
    <t>2026-06-22 17:06:53</t>
  </si>
  <si>
    <t>2026-06-22 19:06:01</t>
  </si>
  <si>
    <t>2026-06-22 17:06:50</t>
  </si>
  <si>
    <t>2026-06-22 15:06:15</t>
  </si>
  <si>
    <t>NEW JAI AMBEY TRADERS</t>
  </si>
  <si>
    <t>KESHARPUR</t>
  </si>
  <si>
    <t>2026-06-22 23:06:55</t>
  </si>
  <si>
    <t>JANTA CEMENT AGENCY</t>
  </si>
  <si>
    <t>RUDEINA GHANGHOLI</t>
  </si>
  <si>
    <t>2026-06-22 23:06:08</t>
  </si>
  <si>
    <t>BILSI</t>
  </si>
  <si>
    <t>2026-06-22 16:06:48</t>
  </si>
  <si>
    <t>Devha Firm</t>
  </si>
  <si>
    <t>2026-06-22 18:06:46</t>
  </si>
  <si>
    <t>Amaur</t>
  </si>
  <si>
    <t>2026-06-22 23:06:42</t>
  </si>
  <si>
    <t>2026-06-22 23:06:19</t>
  </si>
  <si>
    <t>2026-06-22 20:06:35</t>
  </si>
  <si>
    <t>JAFARPUR</t>
  </si>
  <si>
    <t>Rate</t>
  </si>
  <si>
    <t>Freight</t>
  </si>
  <si>
    <t>Diesel</t>
  </si>
  <si>
    <t>Cash</t>
  </si>
  <si>
    <t>Total Advance</t>
  </si>
  <si>
    <t>commition</t>
  </si>
  <si>
    <t>Munsiyana</t>
  </si>
  <si>
    <t>Balance</t>
  </si>
  <si>
    <t>Date</t>
  </si>
  <si>
    <t xml:space="preserve"> Date</t>
  </si>
  <si>
    <t>HARIOM LOGISTICS</t>
  </si>
  <si>
    <t>PAID AMOUNT</t>
  </si>
  <si>
    <t>PARTY</t>
  </si>
  <si>
    <t>PERTICULARS</t>
  </si>
  <si>
    <t>SL. NO.</t>
  </si>
  <si>
    <t>ABDUL MALIK JI</t>
  </si>
  <si>
    <t>A/C TRF FROM A/C 9391 BY VINEET</t>
  </si>
  <si>
    <t>TRF BY PAPPU CHACHA</t>
  </si>
  <si>
    <t>CHANDAPUR</t>
  </si>
  <si>
    <t>CANCELLED</t>
  </si>
  <si>
    <t>AMRITPUR</t>
  </si>
  <si>
    <t>UP2525CT4515</t>
  </si>
  <si>
    <t>BASUDHARAN JAGIR</t>
  </si>
  <si>
    <t>MANPUR( BISALPUR)</t>
  </si>
  <si>
    <t>HAMARA PUMP, KATRA</t>
  </si>
  <si>
    <t>DATE</t>
  </si>
  <si>
    <t>VEHICLE No.</t>
  </si>
  <si>
    <t>DEPOSIT Amt.</t>
  </si>
  <si>
    <t>DIESEL</t>
  </si>
  <si>
    <t>CASH</t>
  </si>
  <si>
    <t>BALANCE</t>
  </si>
  <si>
    <t>KACHAUNA PATSENI</t>
  </si>
  <si>
    <t>RAKESH CHANDRA JI</t>
  </si>
  <si>
    <t>SHELANDRA</t>
  </si>
  <si>
    <t>0919 GPAY TO A/C SONI SHARMA</t>
  </si>
  <si>
    <t>BABU BHAI</t>
  </si>
  <si>
    <t>GPAY BY PAPPU CHACHA</t>
  </si>
  <si>
    <t>PARTICULARS</t>
  </si>
  <si>
    <t>AMOUNT</t>
  </si>
  <si>
    <t>PAHUNCH</t>
  </si>
  <si>
    <t>YES</t>
  </si>
  <si>
    <t xml:space="preserve">HARIOM LOGISTIC </t>
  </si>
  <si>
    <t>FREIGHT BILL</t>
  </si>
  <si>
    <t>BILL AMOUNT</t>
  </si>
  <si>
    <t>BILL No.</t>
  </si>
  <si>
    <t>EPOD STATUS</t>
  </si>
  <si>
    <t>BILL STATUS</t>
  </si>
  <si>
    <t>HO/JUN/01</t>
  </si>
  <si>
    <t>HO/JUN/02</t>
  </si>
  <si>
    <t>HO/JUN/03</t>
  </si>
  <si>
    <t>NO</t>
  </si>
  <si>
    <t>HO/JUN/04</t>
  </si>
  <si>
    <t>HO/JUN/05</t>
  </si>
  <si>
    <t>HO/JUN/06</t>
  </si>
  <si>
    <t>HO/JUN/07</t>
  </si>
  <si>
    <t>HO/JUN/08</t>
  </si>
  <si>
    <t>HO/JUN/09</t>
  </si>
  <si>
    <t>HO/JUN/10</t>
  </si>
  <si>
    <t>HO/JUN/11</t>
  </si>
  <si>
    <t>PASS DATE</t>
  </si>
  <si>
    <t>SUM Amt.</t>
  </si>
  <si>
    <t>PENDING</t>
  </si>
  <si>
    <t>PENDING Amt.</t>
  </si>
  <si>
    <t>PASS Amt.</t>
  </si>
  <si>
    <t>BILL No</t>
  </si>
  <si>
    <t>2 EPOD</t>
  </si>
  <si>
    <t>1 EPOD</t>
  </si>
  <si>
    <t>8 EPOD</t>
  </si>
  <si>
    <t>9 EPOD</t>
  </si>
  <si>
    <t>4 EPOD</t>
  </si>
  <si>
    <t>7 EPOD</t>
  </si>
  <si>
    <t>OWNER NAME</t>
  </si>
  <si>
    <t>VINEET</t>
  </si>
  <si>
    <t>PAREEK JI</t>
  </si>
  <si>
    <t>SANDEEP</t>
  </si>
  <si>
    <t>BABU MISTRI</t>
  </si>
  <si>
    <t>MUKESH 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</si>
</sst>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</numFmts>
  <fonts count="10">
    <font>
      <sz val="11"/>
      <name val="Calibri"/>
    </font>
    <font>
      <b/>
      <sz val="14"/>
      <name val="Calibri"/>
      <family val="2"/>
    </font>
    <font>
      <sz val="16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14"/>
      <name val="Calibri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6DF85"/>
        <bgColor indexed="64"/>
      </patternFill>
    </fill>
    <fill>
      <patternFill patternType="solid">
        <fgColor rgb="FF4DE5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8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0" fillId="4" borderId="1" xfId="0" applyNumberFormat="1" applyFont="1" applyFill="1" applyBorder="1"/>
    <xf numFmtId="44" fontId="0" fillId="5" borderId="3" xfId="0" applyNumberFormat="1" applyFont="1" applyFill="1" applyBorder="1"/>
    <xf numFmtId="44" fontId="0" fillId="5" borderId="9" xfId="0" applyNumberFormat="1" applyFont="1" applyFill="1" applyBorder="1"/>
    <xf numFmtId="0" fontId="0" fillId="6" borderId="0" xfId="0" applyFont="1" applyFill="1" applyBorder="1"/>
    <xf numFmtId="0" fontId="0" fillId="6" borderId="2" xfId="0" applyFont="1" applyFill="1" applyBorder="1" applyAlignment="1">
      <alignment horizontal="center"/>
    </xf>
    <xf numFmtId="14" fontId="0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14" fontId="0" fillId="6" borderId="8" xfId="0" applyNumberFormat="1" applyFont="1" applyFill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3" fillId="4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14" fontId="0" fillId="0" borderId="1" xfId="0" applyNumberFormat="1" applyFont="1" applyFill="1" applyBorder="1"/>
    <xf numFmtId="0" fontId="0" fillId="6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4" fillId="0" borderId="1" xfId="0" applyFont="1" applyFill="1" applyBorder="1"/>
    <xf numFmtId="0" fontId="2" fillId="2" borderId="0" xfId="0" applyFont="1" applyFill="1" applyBorder="1" applyAlignment="1">
      <alignment horizontal="center"/>
    </xf>
    <xf numFmtId="0" fontId="0" fillId="0" borderId="5" xfId="0" applyFont="1" applyFill="1" applyBorder="1"/>
    <xf numFmtId="0" fontId="7" fillId="3" borderId="5" xfId="0" applyFont="1" applyFill="1" applyBorder="1" applyAlignment="1">
      <alignment horizontal="center"/>
    </xf>
    <xf numFmtId="164" fontId="0" fillId="0" borderId="0" xfId="0" applyNumberFormat="1" applyFont="1" applyFill="1" applyBorder="1"/>
    <xf numFmtId="0" fontId="1" fillId="3" borderId="1" xfId="0" applyFont="1" applyFill="1" applyBorder="1" applyAlignment="1">
      <alignment horizontal="center"/>
    </xf>
    <xf numFmtId="44" fontId="8" fillId="8" borderId="6" xfId="0" applyNumberFormat="1" applyFont="1" applyFill="1" applyBorder="1" applyAlignment="1">
      <alignment horizontal="center"/>
    </xf>
    <xf numFmtId="44" fontId="8" fillId="8" borderId="3" xfId="0" applyNumberFormat="1" applyFont="1" applyFill="1" applyBorder="1" applyAlignment="1">
      <alignment horizontal="center"/>
    </xf>
    <xf numFmtId="44" fontId="8" fillId="8" borderId="9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6" borderId="1" xfId="0" applyFont="1" applyFill="1" applyBorder="1"/>
    <xf numFmtId="0" fontId="0" fillId="6" borderId="21" xfId="0" applyFont="1" applyFill="1" applyBorder="1"/>
    <xf numFmtId="0" fontId="0" fillId="6" borderId="22" xfId="0" applyFont="1" applyFill="1" applyBorder="1"/>
    <xf numFmtId="0" fontId="0" fillId="6" borderId="16" xfId="0" applyFont="1" applyFill="1" applyBorder="1"/>
    <xf numFmtId="0" fontId="0" fillId="6" borderId="17" xfId="0" applyFont="1" applyFill="1" applyBorder="1"/>
    <xf numFmtId="0" fontId="0" fillId="6" borderId="18" xfId="0" applyFont="1" applyFill="1" applyBorder="1"/>
    <xf numFmtId="0" fontId="0" fillId="6" borderId="3" xfId="0" applyFont="1" applyFill="1" applyBorder="1"/>
    <xf numFmtId="0" fontId="0" fillId="6" borderId="24" xfId="0" applyFont="1" applyFill="1" applyBorder="1"/>
    <xf numFmtId="14" fontId="0" fillId="6" borderId="19" xfId="0" applyNumberFormat="1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20" xfId="0" applyFont="1" applyFill="1" applyBorder="1" applyAlignment="1">
      <alignment horizontal="center"/>
    </xf>
    <xf numFmtId="14" fontId="0" fillId="6" borderId="21" xfId="0" applyNumberFormat="1" applyFont="1" applyFill="1" applyBorder="1" applyAlignment="1">
      <alignment horizontal="center"/>
    </xf>
    <xf numFmtId="0" fontId="0" fillId="6" borderId="22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0" fontId="5" fillId="9" borderId="23" xfId="0" applyFont="1" applyFill="1" applyBorder="1" applyAlignment="1">
      <alignment horizontal="center"/>
    </xf>
    <xf numFmtId="44" fontId="0" fillId="6" borderId="6" xfId="0" applyNumberFormat="1" applyFont="1" applyFill="1" applyBorder="1" applyAlignment="1">
      <alignment horizontal="center"/>
    </xf>
    <xf numFmtId="44" fontId="0" fillId="6" borderId="3" xfId="0" applyNumberFormat="1" applyFont="1" applyFill="1" applyBorder="1" applyAlignment="1">
      <alignment horizontal="center"/>
    </xf>
    <xf numFmtId="44" fontId="0" fillId="6" borderId="5" xfId="0" applyNumberFormat="1" applyFont="1" applyFill="1" applyBorder="1" applyAlignment="1">
      <alignment horizontal="center"/>
    </xf>
    <xf numFmtId="44" fontId="0" fillId="6" borderId="1" xfId="0" applyNumberFormat="1" applyFont="1" applyFill="1" applyBorder="1" applyAlignment="1">
      <alignment horizontal="center"/>
    </xf>
    <xf numFmtId="44" fontId="0" fillId="6" borderId="1" xfId="0" applyNumberFormat="1" applyFont="1" applyFill="1" applyBorder="1"/>
    <xf numFmtId="44" fontId="0" fillId="6" borderId="17" xfId="0" applyNumberFormat="1" applyFont="1" applyFill="1" applyBorder="1"/>
    <xf numFmtId="0" fontId="0" fillId="6" borderId="9" xfId="0" applyFont="1" applyFill="1" applyBorder="1"/>
    <xf numFmtId="1" fontId="8" fillId="8" borderId="6" xfId="0" applyNumberFormat="1" applyFont="1" applyFill="1" applyBorder="1" applyAlignment="1">
      <alignment horizontal="center"/>
    </xf>
    <xf numFmtId="1" fontId="8" fillId="8" borderId="3" xfId="0" applyNumberFormat="1" applyFont="1" applyFill="1" applyBorder="1" applyAlignment="1">
      <alignment horizontal="center"/>
    </xf>
    <xf numFmtId="1" fontId="8" fillId="8" borderId="9" xfId="0" applyNumberFormat="1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14" fontId="0" fillId="10" borderId="1" xfId="0" applyNumberFormat="1" applyFont="1" applyFill="1" applyBorder="1"/>
    <xf numFmtId="0" fontId="0" fillId="10" borderId="1" xfId="0" applyFont="1" applyFill="1" applyBorder="1"/>
    <xf numFmtId="164" fontId="0" fillId="10" borderId="1" xfId="0" applyNumberFormat="1" applyFont="1" applyFill="1" applyBorder="1"/>
    <xf numFmtId="44" fontId="0" fillId="10" borderId="3" xfId="0" applyNumberFormat="1" applyFont="1" applyFill="1" applyBorder="1"/>
    <xf numFmtId="44" fontId="8" fillId="10" borderId="3" xfId="0" applyNumberFormat="1" applyFont="1" applyFill="1" applyBorder="1" applyAlignment="1">
      <alignment horizontal="center"/>
    </xf>
    <xf numFmtId="1" fontId="8" fillId="10" borderId="3" xfId="0" applyNumberFormat="1" applyFont="1" applyFill="1" applyBorder="1" applyAlignment="1">
      <alignment horizontal="center"/>
    </xf>
    <xf numFmtId="0" fontId="9" fillId="10" borderId="1" xfId="0" applyFont="1" applyFill="1" applyBorder="1"/>
    <xf numFmtId="0" fontId="2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4" formatCode="_ &quot;₹&quot;\ * #,##0.00_ ;_ &quot;₹&quot;\ * \-#,##0.00_ ;_ &quot;₹&quot;\ * &quot;-&quot;??_ ;_ @_ "/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</border>
    </dxf>
    <dxf>
      <numFmt numFmtId="34" formatCode="_ &quot;₹&quot;\ * #,##0.00_ ;_ &quot;₹&quot;\ * \-#,##0.00_ ;_ &quot;₹&quot;\ * &quot;-&quot;??_ ;_ @_ "/>
      <fill>
        <patternFill patternType="solid">
          <fgColor indexed="64"/>
          <bgColor theme="0"/>
        </patternFill>
      </fill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rgb="FF96DF8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" formatCode="0"/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34" formatCode="_ &quot;₹&quot;\ * #,##0.00_ ;_ &quot;₹&quot;\ * \-#,##0.00_ ;_ &quot;₹&quot;\ * &quot;-&quot;??_ ;_ @_ "/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4" formatCode="_ &quot;₹&quot;\ * #,##0.00_ ;_ &quot;₹&quot;\ * \-#,##0.00_ ;_ &quot;₹&quot;\ * &quot;-&quot;??_ ;_ @_ "/>
      <fill>
        <patternFill patternType="solid">
          <fgColor indexed="64"/>
          <bgColor rgb="FF4DE5B6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_ &quot;₹&quot;\ * #,##0_ ;_ &quot;₹&quot;\ * \-#,##0_ ;_ &quot;₹&quot;\ * &quot;-&quot;??_ ;_ @_ "/>
      <fill>
        <patternFill patternType="solid">
          <fgColor indexed="64"/>
          <bgColor rgb="FF96DF8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Medium4"/>
  <colors>
    <mruColors>
      <color rgb="FF96DF85"/>
      <color rgb="FF4DE5B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T390" totalsRowShown="0" headerRowDxfId="58" dataDxfId="56" headerRowBorderDxfId="57" tableBorderDxfId="55" totalsRowBorderDxfId="54">
  <autoFilter ref="A2:T390"/>
  <tableColumns count="20">
    <tableColumn id="1" name="LR No" dataDxfId="53"/>
    <tableColumn id="2" name=" Date" dataDxfId="52"/>
    <tableColumn id="3" name="Sold To Party" dataDxfId="51"/>
    <tableColumn id="4" name="Destination" dataDxfId="50"/>
    <tableColumn id="5" name="Truck No" dataDxfId="49"/>
    <tableColumn id="20" name="OWNER NAME" dataDxfId="0"/>
    <tableColumn id="6" name="Quantity" dataDxfId="48"/>
    <tableColumn id="7" name="Rate" dataDxfId="47"/>
    <tableColumn id="8" name="Freight" dataDxfId="46"/>
    <tableColumn id="9" name="Diesel" dataDxfId="45"/>
    <tableColumn id="10" name="Cash" dataDxfId="44"/>
    <tableColumn id="11" name="Total Advance" dataDxfId="43">
      <calculatedColumnFormula>I3-J3-K3</calculatedColumnFormula>
    </tableColumn>
    <tableColumn id="12" name="commition" dataDxfId="42"/>
    <tableColumn id="13" name="Munsiyana" dataDxfId="41"/>
    <tableColumn id="14" name="Balance" dataDxfId="40">
      <calculatedColumnFormula>L3-M3-N3</calculatedColumnFormula>
    </tableColumn>
    <tableColumn id="18" name="PAHUNCH" dataDxfId="39"/>
    <tableColumn id="19" name="BILL No" dataDxfId="38"/>
    <tableColumn id="15" name="DATE" dataDxfId="37"/>
    <tableColumn id="16" name="AMOUNT" dataDxfId="36"/>
    <tableColumn id="17" name="PARTICULARS" dataDxfId="3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2:E81" totalsRowShown="0" headerRowDxfId="34" dataDxfId="32" headerRowBorderDxfId="33" tableBorderDxfId="31" totalsRowBorderDxfId="30">
  <autoFilter ref="A2:E81"/>
  <tableColumns count="5">
    <tableColumn id="1" name="SL. NO." dataDxfId="29"/>
    <tableColumn id="2" name="Date" dataDxfId="28"/>
    <tableColumn id="3" name="PAID AMOUNT" dataDxfId="27"/>
    <tableColumn id="4" name="PARTY" dataDxfId="26"/>
    <tableColumn id="5" name="PERTICULARS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2:G55" totalsRowShown="0" headerRowDxfId="24" dataDxfId="22" headerRowBorderDxfId="23" tableBorderDxfId="21" totalsRowBorderDxfId="20">
  <autoFilter ref="B2:G55"/>
  <tableColumns count="6">
    <tableColumn id="1" name="DATE" dataDxfId="19"/>
    <tableColumn id="2" name="VEHICLE No." dataDxfId="18"/>
    <tableColumn id="3" name="DEPOSIT Amt." dataDxfId="17"/>
    <tableColumn id="4" name="DIESEL" dataDxfId="16"/>
    <tableColumn id="5" name="CASH" dataDxfId="15"/>
    <tableColumn id="6" name="BALANCE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3:I39" totalsRowShown="0" headerRowDxfId="13" dataDxfId="11" headerRowBorderDxfId="12" tableBorderDxfId="10">
  <tableColumns count="9">
    <tableColumn id="1" name="DATE" dataDxfId="9"/>
    <tableColumn id="2" name="BILL No." dataDxfId="8"/>
    <tableColumn id="3" name="BILL AMOUNT" dataDxfId="7"/>
    <tableColumn id="4" name="EPOD STATUS" dataDxfId="6"/>
    <tableColumn id="8" name="PENDING Amt." dataDxfId="5"/>
    <tableColumn id="9" name="PASS Amt." dataDxfId="4"/>
    <tableColumn id="7" name="SUM Amt." dataDxfId="3"/>
    <tableColumn id="6" name="BILL STATUS" dataDxfId="2"/>
    <tableColumn id="5" name="PASS D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14"/>
  <sheetViews>
    <sheetView tabSelected="1" topLeftCell="A239" workbookViewId="0">
      <selection activeCell="F264" sqref="F264"/>
    </sheetView>
  </sheetViews>
  <sheetFormatPr defaultRowHeight="14.4"/>
  <cols>
    <col min="1" max="1" width="9" style="2" customWidth="1"/>
    <col min="2" max="2" width="18.77734375" customWidth="1"/>
    <col min="3" max="3" width="42.109375" hidden="1" customWidth="1"/>
    <col min="4" max="4" width="24.33203125" customWidth="1"/>
    <col min="5" max="6" width="13.44140625" customWidth="1"/>
    <col min="7" max="7" width="10.77734375" customWidth="1"/>
    <col min="8" max="8" width="10.5546875" customWidth="1"/>
    <col min="9" max="9" width="12.21875" customWidth="1"/>
    <col min="10" max="10" width="9.88671875" customWidth="1"/>
    <col min="11" max="11" width="10.21875" customWidth="1"/>
    <col min="12" max="12" width="14.88671875" customWidth="1"/>
    <col min="13" max="13" width="14.33203125" customWidth="1"/>
    <col min="14" max="14" width="12.21875" customWidth="1"/>
    <col min="15" max="17" width="12.77734375" customWidth="1"/>
    <col min="18" max="18" width="12.88671875" customWidth="1"/>
    <col min="19" max="19" width="12.21875" customWidth="1"/>
    <col min="20" max="20" width="32.21875" customWidth="1"/>
    <col min="22" max="22" width="10.21875" bestFit="1" customWidth="1"/>
  </cols>
  <sheetData>
    <row r="1" spans="1:20" ht="21">
      <c r="A1" s="79" t="s">
        <v>467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34"/>
      <c r="Q1" s="42"/>
      <c r="R1" s="80"/>
      <c r="S1" s="80"/>
      <c r="T1" s="80"/>
    </row>
    <row r="2" spans="1:20" ht="18">
      <c r="A2" s="7" t="s">
        <v>0</v>
      </c>
      <c r="B2" s="8" t="s">
        <v>466</v>
      </c>
      <c r="C2" s="8" t="s">
        <v>1</v>
      </c>
      <c r="D2" s="8" t="s">
        <v>2</v>
      </c>
      <c r="E2" s="8" t="s">
        <v>3</v>
      </c>
      <c r="F2" s="8" t="s">
        <v>528</v>
      </c>
      <c r="G2" s="8" t="s">
        <v>4</v>
      </c>
      <c r="H2" s="8" t="s">
        <v>457</v>
      </c>
      <c r="I2" s="8" t="s">
        <v>458</v>
      </c>
      <c r="J2" s="8" t="s">
        <v>459</v>
      </c>
      <c r="K2" s="8" t="s">
        <v>460</v>
      </c>
      <c r="L2" s="8" t="s">
        <v>461</v>
      </c>
      <c r="M2" s="8" t="s">
        <v>462</v>
      </c>
      <c r="N2" s="8" t="s">
        <v>463</v>
      </c>
      <c r="O2" s="9" t="s">
        <v>464</v>
      </c>
      <c r="P2" s="9" t="s">
        <v>496</v>
      </c>
      <c r="Q2" s="9" t="s">
        <v>521</v>
      </c>
      <c r="R2" s="36" t="s">
        <v>482</v>
      </c>
      <c r="S2" s="36" t="s">
        <v>495</v>
      </c>
      <c r="T2" s="38" t="s">
        <v>494</v>
      </c>
    </row>
    <row r="3" spans="1:20">
      <c r="A3" s="3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529</v>
      </c>
      <c r="G3" s="1">
        <v>13</v>
      </c>
      <c r="H3" s="1">
        <v>468</v>
      </c>
      <c r="I3" s="10">
        <f>H3*G3</f>
        <v>6084</v>
      </c>
      <c r="J3" s="1"/>
      <c r="K3" s="1"/>
      <c r="L3" s="1">
        <f>I3-J3-K3</f>
        <v>6084</v>
      </c>
      <c r="M3" s="1">
        <v>260</v>
      </c>
      <c r="N3" s="1">
        <v>50</v>
      </c>
      <c r="O3" s="11">
        <f>L3-M3-N3</f>
        <v>5774</v>
      </c>
      <c r="P3" s="39" t="s">
        <v>497</v>
      </c>
      <c r="Q3" s="68" t="s">
        <v>523</v>
      </c>
      <c r="R3" s="35"/>
      <c r="S3" s="35"/>
      <c r="T3" s="35"/>
    </row>
    <row r="4" spans="1:20">
      <c r="A4" s="3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529</v>
      </c>
      <c r="G4" s="1">
        <v>20</v>
      </c>
      <c r="H4" s="1">
        <v>364</v>
      </c>
      <c r="I4" s="10">
        <f t="shared" ref="I4:I67" si="0">H4*G4</f>
        <v>7280</v>
      </c>
      <c r="J4" s="1"/>
      <c r="K4" s="1"/>
      <c r="L4" s="1">
        <f t="shared" ref="L4:L67" si="1">I4-J4-K4</f>
        <v>7280</v>
      </c>
      <c r="M4" s="1">
        <v>400</v>
      </c>
      <c r="N4" s="1">
        <v>100</v>
      </c>
      <c r="O4" s="11">
        <f t="shared" ref="O4:O67" si="2">L4-M4-N4</f>
        <v>6780</v>
      </c>
      <c r="P4" s="40" t="s">
        <v>497</v>
      </c>
      <c r="Q4" s="69" t="s">
        <v>526</v>
      </c>
      <c r="R4" s="1"/>
      <c r="S4" s="1"/>
      <c r="T4" s="1"/>
    </row>
    <row r="5" spans="1:20">
      <c r="A5" s="3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529</v>
      </c>
      <c r="G5" s="1">
        <v>13</v>
      </c>
      <c r="H5" s="1">
        <v>367</v>
      </c>
      <c r="I5" s="10">
        <f t="shared" si="0"/>
        <v>4771</v>
      </c>
      <c r="J5" s="1"/>
      <c r="K5" s="1"/>
      <c r="L5" s="1">
        <f t="shared" si="1"/>
        <v>4771</v>
      </c>
      <c r="M5" s="1">
        <v>260</v>
      </c>
      <c r="N5" s="1">
        <v>50</v>
      </c>
      <c r="O5" s="11">
        <f t="shared" si="2"/>
        <v>4461</v>
      </c>
      <c r="P5" s="40" t="s">
        <v>497</v>
      </c>
      <c r="Q5" s="68" t="s">
        <v>523</v>
      </c>
      <c r="R5" s="1"/>
      <c r="S5" s="1"/>
      <c r="T5" s="1"/>
    </row>
    <row r="6" spans="1:20">
      <c r="A6" s="3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529</v>
      </c>
      <c r="G6" s="1">
        <v>13</v>
      </c>
      <c r="H6" s="1">
        <v>456</v>
      </c>
      <c r="I6" s="10">
        <f t="shared" si="0"/>
        <v>5928</v>
      </c>
      <c r="J6" s="1"/>
      <c r="K6" s="1"/>
      <c r="L6" s="1">
        <f t="shared" si="1"/>
        <v>5928</v>
      </c>
      <c r="M6" s="1">
        <v>260</v>
      </c>
      <c r="N6" s="1">
        <v>50</v>
      </c>
      <c r="O6" s="11">
        <f t="shared" si="2"/>
        <v>5618</v>
      </c>
      <c r="P6" s="40"/>
      <c r="Q6" s="69">
        <v>3</v>
      </c>
      <c r="R6" s="1"/>
      <c r="S6" s="1"/>
      <c r="T6" s="1"/>
    </row>
    <row r="7" spans="1:20">
      <c r="A7" s="3" t="s">
        <v>25</v>
      </c>
      <c r="B7" s="1" t="s">
        <v>26</v>
      </c>
      <c r="C7" s="1" t="s">
        <v>17</v>
      </c>
      <c r="D7" s="1" t="s">
        <v>27</v>
      </c>
      <c r="E7" s="1" t="s">
        <v>19</v>
      </c>
      <c r="F7" s="1" t="s">
        <v>529</v>
      </c>
      <c r="G7" s="1">
        <v>13</v>
      </c>
      <c r="H7" s="1">
        <v>225</v>
      </c>
      <c r="I7" s="10">
        <f t="shared" si="0"/>
        <v>2925</v>
      </c>
      <c r="J7" s="1"/>
      <c r="K7" s="1"/>
      <c r="L7" s="1">
        <f t="shared" si="1"/>
        <v>2925</v>
      </c>
      <c r="M7" s="1">
        <v>260</v>
      </c>
      <c r="N7" s="1">
        <v>50</v>
      </c>
      <c r="O7" s="11">
        <f t="shared" si="2"/>
        <v>2615</v>
      </c>
      <c r="P7" s="40" t="s">
        <v>497</v>
      </c>
      <c r="Q7" s="68" t="s">
        <v>523</v>
      </c>
      <c r="R7" s="1"/>
      <c r="S7" s="1"/>
      <c r="T7" s="1"/>
    </row>
    <row r="8" spans="1:20">
      <c r="A8" s="3" t="s">
        <v>28</v>
      </c>
      <c r="B8" s="1" t="s">
        <v>29</v>
      </c>
      <c r="C8" s="1" t="s">
        <v>30</v>
      </c>
      <c r="D8" s="1" t="s">
        <v>31</v>
      </c>
      <c r="E8" s="1" t="s">
        <v>9</v>
      </c>
      <c r="F8" s="1" t="s">
        <v>529</v>
      </c>
      <c r="G8" s="1">
        <v>13</v>
      </c>
      <c r="H8" s="1">
        <v>360</v>
      </c>
      <c r="I8" s="10">
        <f t="shared" si="0"/>
        <v>4680</v>
      </c>
      <c r="J8" s="1"/>
      <c r="K8" s="1"/>
      <c r="L8" s="1">
        <f t="shared" si="1"/>
        <v>4680</v>
      </c>
      <c r="M8" s="1">
        <v>260</v>
      </c>
      <c r="N8" s="1">
        <v>50</v>
      </c>
      <c r="O8" s="11">
        <f t="shared" si="2"/>
        <v>4370</v>
      </c>
      <c r="P8" s="40" t="s">
        <v>497</v>
      </c>
      <c r="Q8" s="69" t="s">
        <v>522</v>
      </c>
      <c r="R8" s="1"/>
      <c r="S8" s="1"/>
      <c r="T8" s="1"/>
    </row>
    <row r="9" spans="1:20">
      <c r="A9" s="3" t="s">
        <v>32</v>
      </c>
      <c r="B9" s="1" t="s">
        <v>33</v>
      </c>
      <c r="C9" s="1" t="s">
        <v>34</v>
      </c>
      <c r="D9" s="1" t="s">
        <v>27</v>
      </c>
      <c r="E9" s="1" t="s">
        <v>24</v>
      </c>
      <c r="F9" s="1" t="s">
        <v>529</v>
      </c>
      <c r="G9" s="1">
        <v>13</v>
      </c>
      <c r="H9" s="1">
        <v>225</v>
      </c>
      <c r="I9" s="10">
        <f t="shared" si="0"/>
        <v>2925</v>
      </c>
      <c r="J9" s="1"/>
      <c r="K9" s="1"/>
      <c r="L9" s="1">
        <f t="shared" si="1"/>
        <v>2925</v>
      </c>
      <c r="M9" s="1">
        <v>260</v>
      </c>
      <c r="N9" s="1">
        <v>50</v>
      </c>
      <c r="O9" s="11">
        <f t="shared" si="2"/>
        <v>2615</v>
      </c>
      <c r="P9" s="40" t="s">
        <v>497</v>
      </c>
      <c r="Q9" s="69" t="s">
        <v>522</v>
      </c>
      <c r="R9" s="1"/>
      <c r="S9" s="1"/>
      <c r="T9" s="1"/>
    </row>
    <row r="10" spans="1:20">
      <c r="A10" s="3" t="s">
        <v>35</v>
      </c>
      <c r="B10" s="1" t="s">
        <v>36</v>
      </c>
      <c r="C10" s="1" t="s">
        <v>37</v>
      </c>
      <c r="D10" s="1" t="s">
        <v>38</v>
      </c>
      <c r="E10" s="1" t="s">
        <v>14</v>
      </c>
      <c r="F10" s="1" t="s">
        <v>529</v>
      </c>
      <c r="G10" s="1">
        <v>10</v>
      </c>
      <c r="H10" s="1">
        <v>321</v>
      </c>
      <c r="I10" s="10">
        <f t="shared" si="0"/>
        <v>3210</v>
      </c>
      <c r="J10" s="1"/>
      <c r="K10" s="1"/>
      <c r="L10" s="1">
        <f t="shared" si="1"/>
        <v>3210</v>
      </c>
      <c r="M10" s="1">
        <v>500</v>
      </c>
      <c r="N10" s="1">
        <v>100</v>
      </c>
      <c r="O10" s="11">
        <f t="shared" si="2"/>
        <v>2610</v>
      </c>
      <c r="P10" s="40"/>
      <c r="Q10" s="69">
        <v>6</v>
      </c>
      <c r="R10" s="1"/>
      <c r="S10" s="1"/>
      <c r="T10" s="1"/>
    </row>
    <row r="11" spans="1:20">
      <c r="A11" s="3" t="s">
        <v>39</v>
      </c>
      <c r="B11" s="1" t="s">
        <v>40</v>
      </c>
      <c r="C11" s="1" t="s">
        <v>37</v>
      </c>
      <c r="D11" s="1" t="s">
        <v>38</v>
      </c>
      <c r="E11" s="1" t="s">
        <v>14</v>
      </c>
      <c r="F11" s="1" t="s">
        <v>529</v>
      </c>
      <c r="G11" s="1">
        <v>15</v>
      </c>
      <c r="H11" s="1">
        <v>321</v>
      </c>
      <c r="I11" s="10">
        <f t="shared" si="0"/>
        <v>4815</v>
      </c>
      <c r="J11" s="1"/>
      <c r="K11" s="1"/>
      <c r="L11" s="1">
        <f t="shared" si="1"/>
        <v>4815</v>
      </c>
      <c r="M11" s="1"/>
      <c r="N11" s="1"/>
      <c r="O11" s="11">
        <f t="shared" si="2"/>
        <v>4815</v>
      </c>
      <c r="P11" s="40"/>
      <c r="Q11" s="69">
        <v>6</v>
      </c>
      <c r="R11" s="1"/>
      <c r="S11" s="1"/>
      <c r="T11" s="1"/>
    </row>
    <row r="12" spans="1:20">
      <c r="A12" s="4">
        <v>10</v>
      </c>
      <c r="B12" s="1" t="s">
        <v>41</v>
      </c>
      <c r="C12" s="1" t="s">
        <v>42</v>
      </c>
      <c r="D12" s="1" t="s">
        <v>23</v>
      </c>
      <c r="E12" s="1" t="s">
        <v>43</v>
      </c>
      <c r="F12" s="1" t="s">
        <v>530</v>
      </c>
      <c r="G12" s="1">
        <v>30</v>
      </c>
      <c r="H12" s="1">
        <v>293</v>
      </c>
      <c r="I12" s="10">
        <f t="shared" si="0"/>
        <v>8790</v>
      </c>
      <c r="J12" s="1"/>
      <c r="K12" s="1"/>
      <c r="L12" s="1">
        <f t="shared" si="1"/>
        <v>8790</v>
      </c>
      <c r="M12" s="1">
        <v>600</v>
      </c>
      <c r="N12" s="1">
        <v>100</v>
      </c>
      <c r="O12" s="11">
        <f t="shared" si="2"/>
        <v>8090</v>
      </c>
      <c r="P12" s="40" t="s">
        <v>497</v>
      </c>
      <c r="Q12" s="68" t="s">
        <v>523</v>
      </c>
      <c r="R12" s="1"/>
      <c r="S12" s="1"/>
      <c r="T12" s="1"/>
    </row>
    <row r="13" spans="1:20">
      <c r="A13" s="4">
        <v>11</v>
      </c>
      <c r="B13" s="1" t="s">
        <v>44</v>
      </c>
      <c r="C13" s="1" t="s">
        <v>45</v>
      </c>
      <c r="D13" s="1" t="s">
        <v>46</v>
      </c>
      <c r="E13" s="1" t="s">
        <v>47</v>
      </c>
      <c r="F13" s="1" t="s">
        <v>530</v>
      </c>
      <c r="G13" s="1">
        <v>35</v>
      </c>
      <c r="H13" s="1">
        <v>175</v>
      </c>
      <c r="I13" s="10">
        <f t="shared" si="0"/>
        <v>6125</v>
      </c>
      <c r="J13" s="1"/>
      <c r="K13" s="1"/>
      <c r="L13" s="1">
        <f t="shared" si="1"/>
        <v>6125</v>
      </c>
      <c r="M13" s="1">
        <v>700</v>
      </c>
      <c r="N13" s="1">
        <v>100</v>
      </c>
      <c r="O13" s="11">
        <f t="shared" si="2"/>
        <v>5325</v>
      </c>
      <c r="P13" s="40"/>
      <c r="Q13" s="69">
        <v>3</v>
      </c>
      <c r="R13" s="1"/>
      <c r="S13" s="1"/>
      <c r="T13" s="1"/>
    </row>
    <row r="14" spans="1:20">
      <c r="A14" s="4">
        <v>15</v>
      </c>
      <c r="B14" s="1" t="s">
        <v>48</v>
      </c>
      <c r="C14" s="1" t="s">
        <v>42</v>
      </c>
      <c r="D14" s="1" t="s">
        <v>23</v>
      </c>
      <c r="E14" s="1" t="s">
        <v>24</v>
      </c>
      <c r="F14" s="1" t="s">
        <v>529</v>
      </c>
      <c r="G14" s="1">
        <v>13</v>
      </c>
      <c r="H14" s="1">
        <v>413</v>
      </c>
      <c r="I14" s="10">
        <f t="shared" si="0"/>
        <v>5369</v>
      </c>
      <c r="J14" s="1"/>
      <c r="K14" s="1"/>
      <c r="L14" s="1">
        <f t="shared" si="1"/>
        <v>5369</v>
      </c>
      <c r="M14" s="1">
        <v>260</v>
      </c>
      <c r="N14" s="1">
        <v>50</v>
      </c>
      <c r="O14" s="11">
        <f t="shared" si="2"/>
        <v>5059</v>
      </c>
      <c r="P14" s="40" t="s">
        <v>497</v>
      </c>
      <c r="Q14" s="68" t="s">
        <v>523</v>
      </c>
      <c r="R14" s="1"/>
      <c r="S14" s="1"/>
      <c r="T14" s="1"/>
    </row>
    <row r="15" spans="1:20">
      <c r="A15" s="4">
        <v>16</v>
      </c>
      <c r="B15" s="1" t="s">
        <v>49</v>
      </c>
      <c r="C15" s="1" t="s">
        <v>50</v>
      </c>
      <c r="D15" s="1" t="s">
        <v>51</v>
      </c>
      <c r="E15" s="1" t="s">
        <v>52</v>
      </c>
      <c r="F15" s="1" t="s">
        <v>531</v>
      </c>
      <c r="G15" s="1">
        <v>10</v>
      </c>
      <c r="H15" s="1">
        <v>368</v>
      </c>
      <c r="I15" s="10">
        <f t="shared" si="0"/>
        <v>3680</v>
      </c>
      <c r="J15" s="1"/>
      <c r="K15" s="1"/>
      <c r="L15" s="1">
        <f t="shared" si="1"/>
        <v>3680</v>
      </c>
      <c r="M15" s="1">
        <v>400</v>
      </c>
      <c r="N15" s="1">
        <v>100</v>
      </c>
      <c r="O15" s="11">
        <f t="shared" si="2"/>
        <v>3180</v>
      </c>
      <c r="P15" s="40"/>
      <c r="Q15" s="69">
        <v>3</v>
      </c>
      <c r="R15" s="1"/>
      <c r="S15" s="1"/>
      <c r="T15" s="1"/>
    </row>
    <row r="16" spans="1:20">
      <c r="A16" s="4">
        <v>17</v>
      </c>
      <c r="B16" s="1" t="s">
        <v>53</v>
      </c>
      <c r="C16" s="1" t="s">
        <v>50</v>
      </c>
      <c r="D16" s="1" t="s">
        <v>51</v>
      </c>
      <c r="E16" s="1" t="s">
        <v>52</v>
      </c>
      <c r="F16" s="1" t="s">
        <v>531</v>
      </c>
      <c r="G16" s="1">
        <v>10</v>
      </c>
      <c r="H16" s="1">
        <v>368</v>
      </c>
      <c r="I16" s="10">
        <f t="shared" si="0"/>
        <v>3680</v>
      </c>
      <c r="J16" s="1"/>
      <c r="K16" s="1"/>
      <c r="L16" s="1">
        <f t="shared" si="1"/>
        <v>3680</v>
      </c>
      <c r="M16" s="1"/>
      <c r="N16" s="1"/>
      <c r="O16" s="11">
        <f t="shared" si="2"/>
        <v>3680</v>
      </c>
      <c r="P16" s="40"/>
      <c r="Q16" s="69"/>
      <c r="R16" s="1"/>
      <c r="S16" s="1"/>
      <c r="T16" s="1"/>
    </row>
    <row r="17" spans="1:20">
      <c r="A17" s="4">
        <v>18</v>
      </c>
      <c r="B17" s="1" t="s">
        <v>54</v>
      </c>
      <c r="C17" s="1" t="s">
        <v>7</v>
      </c>
      <c r="D17" s="1" t="s">
        <v>27</v>
      </c>
      <c r="E17" s="1" t="s">
        <v>19</v>
      </c>
      <c r="F17" s="1" t="s">
        <v>529</v>
      </c>
      <c r="G17" s="1">
        <v>13</v>
      </c>
      <c r="H17" s="1">
        <v>225</v>
      </c>
      <c r="I17" s="10">
        <f t="shared" si="0"/>
        <v>2925</v>
      </c>
      <c r="J17" s="1"/>
      <c r="K17" s="1"/>
      <c r="L17" s="1">
        <f t="shared" si="1"/>
        <v>2925</v>
      </c>
      <c r="M17" s="1">
        <v>260</v>
      </c>
      <c r="N17" s="1">
        <v>50</v>
      </c>
      <c r="O17" s="11">
        <f t="shared" si="2"/>
        <v>2615</v>
      </c>
      <c r="P17" s="40" t="s">
        <v>497</v>
      </c>
      <c r="Q17" s="69" t="s">
        <v>526</v>
      </c>
      <c r="R17" s="1"/>
      <c r="S17" s="1"/>
      <c r="T17" s="1"/>
    </row>
    <row r="18" spans="1:20">
      <c r="A18" s="4">
        <v>19</v>
      </c>
      <c r="B18" s="1" t="s">
        <v>55</v>
      </c>
      <c r="C18" s="1" t="s">
        <v>56</v>
      </c>
      <c r="D18" s="1" t="s">
        <v>31</v>
      </c>
      <c r="E18" s="1" t="s">
        <v>9</v>
      </c>
      <c r="F18" s="1" t="s">
        <v>529</v>
      </c>
      <c r="G18" s="1">
        <v>13</v>
      </c>
      <c r="H18" s="1">
        <v>325</v>
      </c>
      <c r="I18" s="10">
        <f t="shared" si="0"/>
        <v>4225</v>
      </c>
      <c r="J18" s="1"/>
      <c r="K18" s="1"/>
      <c r="L18" s="1">
        <f t="shared" si="1"/>
        <v>4225</v>
      </c>
      <c r="M18" s="1">
        <v>260</v>
      </c>
      <c r="N18" s="1">
        <v>50</v>
      </c>
      <c r="O18" s="11">
        <f t="shared" si="2"/>
        <v>3915</v>
      </c>
      <c r="P18" s="40" t="s">
        <v>497</v>
      </c>
      <c r="Q18" s="69" t="s">
        <v>526</v>
      </c>
      <c r="R18" s="1"/>
      <c r="S18" s="1"/>
      <c r="T18" s="1"/>
    </row>
    <row r="19" spans="1:20">
      <c r="A19" s="4">
        <v>20</v>
      </c>
      <c r="B19" s="1" t="s">
        <v>57</v>
      </c>
      <c r="C19" s="1" t="s">
        <v>58</v>
      </c>
      <c r="D19" s="1" t="s">
        <v>59</v>
      </c>
      <c r="E19" s="1" t="s">
        <v>14</v>
      </c>
      <c r="F19" s="1" t="s">
        <v>529</v>
      </c>
      <c r="G19" s="1">
        <v>10</v>
      </c>
      <c r="H19" s="1">
        <v>226</v>
      </c>
      <c r="I19" s="10">
        <f t="shared" si="0"/>
        <v>2260</v>
      </c>
      <c r="J19" s="1"/>
      <c r="K19" s="1"/>
      <c r="L19" s="1">
        <f t="shared" si="1"/>
        <v>2260</v>
      </c>
      <c r="M19" s="1">
        <v>500</v>
      </c>
      <c r="N19" s="1">
        <v>100</v>
      </c>
      <c r="O19" s="11">
        <f t="shared" si="2"/>
        <v>1660</v>
      </c>
      <c r="P19" s="40" t="s">
        <v>497</v>
      </c>
      <c r="Q19" s="69" t="s">
        <v>526</v>
      </c>
      <c r="R19" s="1"/>
      <c r="S19" s="1"/>
      <c r="T19" s="1"/>
    </row>
    <row r="20" spans="1:20">
      <c r="A20" s="4">
        <v>21</v>
      </c>
      <c r="B20" s="1" t="s">
        <v>60</v>
      </c>
      <c r="C20" s="1" t="s">
        <v>58</v>
      </c>
      <c r="D20" s="1" t="s">
        <v>61</v>
      </c>
      <c r="E20" s="1" t="s">
        <v>14</v>
      </c>
      <c r="F20" s="1" t="s">
        <v>529</v>
      </c>
      <c r="G20" s="1">
        <v>6</v>
      </c>
      <c r="H20" s="1">
        <v>258</v>
      </c>
      <c r="I20" s="10">
        <f t="shared" si="0"/>
        <v>1548</v>
      </c>
      <c r="J20" s="1"/>
      <c r="K20" s="1"/>
      <c r="L20" s="1">
        <f t="shared" si="1"/>
        <v>1548</v>
      </c>
      <c r="M20" s="1"/>
      <c r="N20" s="1"/>
      <c r="O20" s="11">
        <f t="shared" si="2"/>
        <v>1548</v>
      </c>
      <c r="P20" s="40"/>
      <c r="Q20" s="69" t="s">
        <v>527</v>
      </c>
      <c r="R20" s="1"/>
      <c r="S20" s="1"/>
      <c r="T20" s="1"/>
    </row>
    <row r="21" spans="1:20">
      <c r="A21" s="4">
        <v>22</v>
      </c>
      <c r="B21" s="1" t="s">
        <v>62</v>
      </c>
      <c r="C21" s="1" t="s">
        <v>58</v>
      </c>
      <c r="D21" s="1" t="s">
        <v>59</v>
      </c>
      <c r="E21" s="1" t="s">
        <v>14</v>
      </c>
      <c r="F21" s="1" t="s">
        <v>529</v>
      </c>
      <c r="G21" s="1">
        <v>9</v>
      </c>
      <c r="H21" s="1">
        <v>226</v>
      </c>
      <c r="I21" s="10">
        <f t="shared" si="0"/>
        <v>2034</v>
      </c>
      <c r="J21" s="1"/>
      <c r="K21" s="1"/>
      <c r="L21" s="1">
        <f t="shared" si="1"/>
        <v>2034</v>
      </c>
      <c r="M21" s="1"/>
      <c r="N21" s="1"/>
      <c r="O21" s="11">
        <f t="shared" si="2"/>
        <v>2034</v>
      </c>
      <c r="P21" s="40" t="s">
        <v>497</v>
      </c>
      <c r="Q21" s="69" t="s">
        <v>526</v>
      </c>
      <c r="R21" s="1"/>
      <c r="S21" s="1"/>
      <c r="T21" s="1"/>
    </row>
    <row r="22" spans="1:20">
      <c r="A22" s="4">
        <v>24</v>
      </c>
      <c r="B22" s="1" t="s">
        <v>63</v>
      </c>
      <c r="C22" s="1" t="s">
        <v>7</v>
      </c>
      <c r="D22" s="1" t="s">
        <v>8</v>
      </c>
      <c r="E22" s="1" t="s">
        <v>24</v>
      </c>
      <c r="F22" s="1" t="s">
        <v>529</v>
      </c>
      <c r="G22" s="1">
        <v>13</v>
      </c>
      <c r="H22" s="1">
        <v>423</v>
      </c>
      <c r="I22" s="10">
        <f t="shared" si="0"/>
        <v>5499</v>
      </c>
      <c r="J22" s="1"/>
      <c r="K22" s="1"/>
      <c r="L22" s="1">
        <f t="shared" si="1"/>
        <v>5499</v>
      </c>
      <c r="M22" s="1">
        <v>260</v>
      </c>
      <c r="N22" s="1">
        <v>50</v>
      </c>
      <c r="O22" s="11">
        <f t="shared" si="2"/>
        <v>5189</v>
      </c>
      <c r="P22" s="40" t="s">
        <v>497</v>
      </c>
      <c r="Q22" s="68" t="s">
        <v>523</v>
      </c>
      <c r="R22" s="1"/>
      <c r="S22" s="1"/>
      <c r="T22" s="1"/>
    </row>
    <row r="23" spans="1:20">
      <c r="A23" s="4">
        <v>23</v>
      </c>
      <c r="B23" s="1" t="s">
        <v>64</v>
      </c>
      <c r="C23" s="1" t="s">
        <v>65</v>
      </c>
      <c r="D23" s="1" t="s">
        <v>66</v>
      </c>
      <c r="E23" s="1" t="s">
        <v>47</v>
      </c>
      <c r="F23" s="1" t="s">
        <v>530</v>
      </c>
      <c r="G23" s="1">
        <v>35</v>
      </c>
      <c r="H23" s="1">
        <v>434</v>
      </c>
      <c r="I23" s="10">
        <f t="shared" si="0"/>
        <v>15190</v>
      </c>
      <c r="J23" s="1"/>
      <c r="K23" s="1"/>
      <c r="L23" s="1">
        <f t="shared" si="1"/>
        <v>15190</v>
      </c>
      <c r="M23" s="1">
        <v>700</v>
      </c>
      <c r="N23" s="1">
        <v>100</v>
      </c>
      <c r="O23" s="11">
        <f t="shared" si="2"/>
        <v>14390</v>
      </c>
      <c r="P23" s="40"/>
      <c r="Q23" s="69">
        <v>3</v>
      </c>
      <c r="R23" s="1"/>
      <c r="S23" s="1"/>
      <c r="T23" s="1"/>
    </row>
    <row r="24" spans="1:20">
      <c r="A24" s="4">
        <v>26</v>
      </c>
      <c r="B24" s="1" t="s">
        <v>67</v>
      </c>
      <c r="C24" s="1" t="s">
        <v>34</v>
      </c>
      <c r="D24" s="1" t="s">
        <v>68</v>
      </c>
      <c r="E24" s="1" t="s">
        <v>9</v>
      </c>
      <c r="F24" s="1" t="s">
        <v>529</v>
      </c>
      <c r="G24" s="1">
        <v>13</v>
      </c>
      <c r="H24" s="1">
        <v>320</v>
      </c>
      <c r="I24" s="10">
        <f t="shared" si="0"/>
        <v>4160</v>
      </c>
      <c r="J24" s="1"/>
      <c r="K24" s="1"/>
      <c r="L24" s="1">
        <f t="shared" si="1"/>
        <v>4160</v>
      </c>
      <c r="M24" s="1">
        <v>260</v>
      </c>
      <c r="N24" s="1">
        <v>50</v>
      </c>
      <c r="O24" s="11">
        <f t="shared" si="2"/>
        <v>3850</v>
      </c>
      <c r="P24" s="40" t="s">
        <v>497</v>
      </c>
      <c r="Q24" s="69" t="s">
        <v>526</v>
      </c>
      <c r="R24" s="1"/>
      <c r="S24" s="1"/>
      <c r="T24" s="1"/>
    </row>
    <row r="25" spans="1:20">
      <c r="A25" s="4">
        <v>25</v>
      </c>
      <c r="B25" s="1" t="s">
        <v>69</v>
      </c>
      <c r="C25" s="1" t="s">
        <v>17</v>
      </c>
      <c r="D25" s="1" t="s">
        <v>70</v>
      </c>
      <c r="E25" s="1" t="s">
        <v>19</v>
      </c>
      <c r="F25" s="1" t="s">
        <v>529</v>
      </c>
      <c r="G25" s="1">
        <v>13</v>
      </c>
      <c r="H25" s="1">
        <v>510</v>
      </c>
      <c r="I25" s="10">
        <f t="shared" si="0"/>
        <v>6630</v>
      </c>
      <c r="J25" s="1"/>
      <c r="K25" s="1"/>
      <c r="L25" s="1">
        <f t="shared" si="1"/>
        <v>6630</v>
      </c>
      <c r="M25" s="1">
        <v>260</v>
      </c>
      <c r="N25" s="1">
        <v>50</v>
      </c>
      <c r="O25" s="11">
        <f t="shared" si="2"/>
        <v>6320</v>
      </c>
      <c r="P25" s="40" t="s">
        <v>497</v>
      </c>
      <c r="Q25" s="69" t="s">
        <v>526</v>
      </c>
      <c r="R25" s="1"/>
      <c r="S25" s="1"/>
      <c r="T25" s="1"/>
    </row>
    <row r="26" spans="1:20">
      <c r="A26" s="4">
        <v>27</v>
      </c>
      <c r="B26" s="1" t="s">
        <v>71</v>
      </c>
      <c r="C26" s="1" t="s">
        <v>72</v>
      </c>
      <c r="D26" s="1" t="s">
        <v>73</v>
      </c>
      <c r="E26" s="1" t="s">
        <v>43</v>
      </c>
      <c r="F26" s="1" t="s">
        <v>530</v>
      </c>
      <c r="G26" s="1">
        <v>30</v>
      </c>
      <c r="H26" s="1">
        <v>586</v>
      </c>
      <c r="I26" s="10">
        <f t="shared" si="0"/>
        <v>17580</v>
      </c>
      <c r="J26" s="1"/>
      <c r="K26" s="1"/>
      <c r="L26" s="1">
        <f t="shared" si="1"/>
        <v>17580</v>
      </c>
      <c r="M26" s="1">
        <v>600</v>
      </c>
      <c r="N26" s="1">
        <v>100</v>
      </c>
      <c r="O26" s="11">
        <f t="shared" si="2"/>
        <v>16880</v>
      </c>
      <c r="P26" s="40"/>
      <c r="Q26" s="69">
        <v>3</v>
      </c>
      <c r="R26" s="1"/>
      <c r="S26" s="1"/>
      <c r="T26" s="1"/>
    </row>
    <row r="27" spans="1:20">
      <c r="A27" s="4">
        <v>28</v>
      </c>
      <c r="B27" s="1" t="s">
        <v>74</v>
      </c>
      <c r="C27" s="1" t="s">
        <v>75</v>
      </c>
      <c r="D27" s="1" t="s">
        <v>76</v>
      </c>
      <c r="E27" s="1" t="s">
        <v>77</v>
      </c>
      <c r="F27" s="1" t="s">
        <v>530</v>
      </c>
      <c r="G27" s="1">
        <v>30</v>
      </c>
      <c r="H27" s="1">
        <v>489</v>
      </c>
      <c r="I27" s="10">
        <f t="shared" si="0"/>
        <v>14670</v>
      </c>
      <c r="J27" s="1"/>
      <c r="K27" s="1"/>
      <c r="L27" s="1">
        <f t="shared" si="1"/>
        <v>14670</v>
      </c>
      <c r="M27" s="1">
        <v>600</v>
      </c>
      <c r="N27" s="1">
        <v>100</v>
      </c>
      <c r="O27" s="11">
        <f t="shared" si="2"/>
        <v>13970</v>
      </c>
      <c r="P27" s="40" t="s">
        <v>497</v>
      </c>
      <c r="Q27" s="69" t="s">
        <v>526</v>
      </c>
      <c r="R27" s="1"/>
      <c r="S27" s="1"/>
      <c r="T27" s="1"/>
    </row>
    <row r="28" spans="1:20">
      <c r="A28" s="4">
        <v>29</v>
      </c>
      <c r="B28" s="1" t="s">
        <v>78</v>
      </c>
      <c r="C28" s="1" t="s">
        <v>34</v>
      </c>
      <c r="D28" s="1" t="s">
        <v>79</v>
      </c>
      <c r="E28" s="1" t="s">
        <v>19</v>
      </c>
      <c r="F28" s="1" t="s">
        <v>529</v>
      </c>
      <c r="G28" s="1">
        <v>13</v>
      </c>
      <c r="H28" s="1">
        <v>264</v>
      </c>
      <c r="I28" s="10">
        <f t="shared" si="0"/>
        <v>3432</v>
      </c>
      <c r="J28" s="1"/>
      <c r="K28" s="1"/>
      <c r="L28" s="1">
        <f t="shared" si="1"/>
        <v>3432</v>
      </c>
      <c r="M28" s="1">
        <v>260</v>
      </c>
      <c r="N28" s="1">
        <v>50</v>
      </c>
      <c r="O28" s="11">
        <f t="shared" si="2"/>
        <v>3122</v>
      </c>
      <c r="P28" s="40" t="s">
        <v>497</v>
      </c>
      <c r="Q28" s="69" t="s">
        <v>526</v>
      </c>
      <c r="R28" s="1"/>
      <c r="S28" s="1"/>
      <c r="T28" s="1"/>
    </row>
    <row r="29" spans="1:20">
      <c r="A29" s="4">
        <v>30</v>
      </c>
      <c r="B29" s="1" t="s">
        <v>80</v>
      </c>
      <c r="C29" s="1" t="s">
        <v>34</v>
      </c>
      <c r="D29" s="1" t="s">
        <v>81</v>
      </c>
      <c r="E29" s="1" t="s">
        <v>9</v>
      </c>
      <c r="F29" s="1" t="s">
        <v>529</v>
      </c>
      <c r="G29" s="1">
        <v>13</v>
      </c>
      <c r="H29" s="1">
        <v>264</v>
      </c>
      <c r="I29" s="10">
        <f t="shared" si="0"/>
        <v>3432</v>
      </c>
      <c r="J29" s="1"/>
      <c r="K29" s="1"/>
      <c r="L29" s="1">
        <f t="shared" si="1"/>
        <v>3432</v>
      </c>
      <c r="M29" s="1">
        <v>260</v>
      </c>
      <c r="N29" s="1">
        <v>50</v>
      </c>
      <c r="O29" s="11">
        <f t="shared" si="2"/>
        <v>3122</v>
      </c>
      <c r="P29" s="40" t="s">
        <v>497</v>
      </c>
      <c r="Q29" s="69" t="s">
        <v>526</v>
      </c>
      <c r="R29" s="1"/>
      <c r="S29" s="1"/>
      <c r="T29" s="1"/>
    </row>
    <row r="30" spans="1:20">
      <c r="A30" s="4">
        <v>31</v>
      </c>
      <c r="B30" s="1" t="s">
        <v>82</v>
      </c>
      <c r="C30" s="1" t="s">
        <v>17</v>
      </c>
      <c r="D30" s="1" t="s">
        <v>27</v>
      </c>
      <c r="E30" s="1" t="s">
        <v>24</v>
      </c>
      <c r="F30" s="1" t="s">
        <v>529</v>
      </c>
      <c r="G30" s="1">
        <v>13</v>
      </c>
      <c r="H30" s="1">
        <v>225</v>
      </c>
      <c r="I30" s="10">
        <f t="shared" si="0"/>
        <v>2925</v>
      </c>
      <c r="J30" s="1"/>
      <c r="K30" s="1"/>
      <c r="L30" s="1">
        <f t="shared" si="1"/>
        <v>2925</v>
      </c>
      <c r="M30" s="1">
        <v>260</v>
      </c>
      <c r="N30" s="1">
        <v>50</v>
      </c>
      <c r="O30" s="11">
        <f t="shared" si="2"/>
        <v>2615</v>
      </c>
      <c r="P30" s="40" t="s">
        <v>497</v>
      </c>
      <c r="Q30" s="68" t="s">
        <v>523</v>
      </c>
      <c r="R30" s="1"/>
      <c r="S30" s="1"/>
      <c r="T30" s="1"/>
    </row>
    <row r="31" spans="1:20">
      <c r="A31" s="4">
        <v>32</v>
      </c>
      <c r="B31" s="1" t="s">
        <v>83</v>
      </c>
      <c r="C31" s="1" t="s">
        <v>84</v>
      </c>
      <c r="D31" s="1" t="s">
        <v>85</v>
      </c>
      <c r="E31" s="1" t="s">
        <v>14</v>
      </c>
      <c r="F31" s="1" t="s">
        <v>529</v>
      </c>
      <c r="G31" s="1">
        <v>12</v>
      </c>
      <c r="H31" s="1">
        <v>429</v>
      </c>
      <c r="I31" s="10">
        <f t="shared" si="0"/>
        <v>5148</v>
      </c>
      <c r="J31" s="1"/>
      <c r="K31" s="1"/>
      <c r="L31" s="1">
        <f t="shared" si="1"/>
        <v>5148</v>
      </c>
      <c r="M31" s="1">
        <v>500</v>
      </c>
      <c r="N31" s="1">
        <v>100</v>
      </c>
      <c r="O31" s="11">
        <f t="shared" si="2"/>
        <v>4548</v>
      </c>
      <c r="P31" s="40"/>
      <c r="Q31" s="69">
        <v>5</v>
      </c>
      <c r="R31" s="1"/>
      <c r="S31" s="1"/>
      <c r="T31" s="1"/>
    </row>
    <row r="32" spans="1:20">
      <c r="A32" s="4">
        <v>33</v>
      </c>
      <c r="B32" s="1" t="s">
        <v>86</v>
      </c>
      <c r="C32" s="1" t="s">
        <v>84</v>
      </c>
      <c r="D32" s="1" t="s">
        <v>85</v>
      </c>
      <c r="E32" s="1" t="s">
        <v>14</v>
      </c>
      <c r="F32" s="1" t="s">
        <v>529</v>
      </c>
      <c r="G32" s="1">
        <v>13</v>
      </c>
      <c r="H32" s="1">
        <v>429</v>
      </c>
      <c r="I32" s="10">
        <f t="shared" si="0"/>
        <v>5577</v>
      </c>
      <c r="J32" s="1"/>
      <c r="K32" s="1"/>
      <c r="L32" s="1">
        <f t="shared" si="1"/>
        <v>5577</v>
      </c>
      <c r="M32" s="1"/>
      <c r="N32" s="1"/>
      <c r="O32" s="11">
        <f t="shared" si="2"/>
        <v>5577</v>
      </c>
      <c r="P32" s="40"/>
      <c r="Q32" s="69">
        <v>5</v>
      </c>
      <c r="R32" s="1"/>
      <c r="S32" s="1"/>
      <c r="T32" s="1"/>
    </row>
    <row r="33" spans="1:20">
      <c r="A33" s="4">
        <v>37</v>
      </c>
      <c r="B33" s="1" t="s">
        <v>87</v>
      </c>
      <c r="C33" s="1" t="s">
        <v>42</v>
      </c>
      <c r="D33" s="1" t="s">
        <v>88</v>
      </c>
      <c r="E33" s="1" t="s">
        <v>14</v>
      </c>
      <c r="F33" s="1" t="s">
        <v>529</v>
      </c>
      <c r="G33" s="1">
        <v>12.5</v>
      </c>
      <c r="H33" s="1">
        <v>490</v>
      </c>
      <c r="I33" s="10">
        <f t="shared" si="0"/>
        <v>6125</v>
      </c>
      <c r="J33" s="1"/>
      <c r="K33" s="1"/>
      <c r="L33" s="1">
        <f t="shared" si="1"/>
        <v>6125</v>
      </c>
      <c r="M33" s="1">
        <v>500</v>
      </c>
      <c r="N33" s="1">
        <v>100</v>
      </c>
      <c r="O33" s="11">
        <f t="shared" si="2"/>
        <v>5525</v>
      </c>
      <c r="P33" s="40" t="s">
        <v>497</v>
      </c>
      <c r="Q33" s="69" t="s">
        <v>526</v>
      </c>
      <c r="R33" s="1"/>
      <c r="S33" s="1"/>
      <c r="T33" s="1"/>
    </row>
    <row r="34" spans="1:20">
      <c r="A34" s="4">
        <v>36</v>
      </c>
      <c r="B34" s="1" t="s">
        <v>89</v>
      </c>
      <c r="C34" s="1" t="s">
        <v>42</v>
      </c>
      <c r="D34" s="1" t="s">
        <v>88</v>
      </c>
      <c r="E34" s="1" t="s">
        <v>14</v>
      </c>
      <c r="F34" s="1" t="s">
        <v>529</v>
      </c>
      <c r="G34" s="1">
        <v>12.5</v>
      </c>
      <c r="H34" s="1">
        <v>490</v>
      </c>
      <c r="I34" s="10">
        <f t="shared" si="0"/>
        <v>6125</v>
      </c>
      <c r="J34" s="1"/>
      <c r="K34" s="1"/>
      <c r="L34" s="1">
        <f t="shared" si="1"/>
        <v>6125</v>
      </c>
      <c r="M34" s="1"/>
      <c r="N34" s="1"/>
      <c r="O34" s="11">
        <f t="shared" si="2"/>
        <v>6125</v>
      </c>
      <c r="P34" s="40" t="s">
        <v>497</v>
      </c>
      <c r="Q34" s="69" t="s">
        <v>526</v>
      </c>
      <c r="R34" s="1"/>
      <c r="S34" s="1"/>
      <c r="T34" s="1"/>
    </row>
    <row r="35" spans="1:20">
      <c r="A35" s="4">
        <v>38</v>
      </c>
      <c r="B35" s="1" t="s">
        <v>90</v>
      </c>
      <c r="C35" s="1" t="s">
        <v>75</v>
      </c>
      <c r="D35" s="1" t="s">
        <v>51</v>
      </c>
      <c r="E35" s="1" t="s">
        <v>47</v>
      </c>
      <c r="F35" s="1" t="s">
        <v>530</v>
      </c>
      <c r="G35" s="1">
        <v>35</v>
      </c>
      <c r="H35" s="1">
        <v>278</v>
      </c>
      <c r="I35" s="10">
        <f t="shared" si="0"/>
        <v>9730</v>
      </c>
      <c r="J35" s="1"/>
      <c r="K35" s="1"/>
      <c r="L35" s="1">
        <f t="shared" si="1"/>
        <v>9730</v>
      </c>
      <c r="M35" s="1">
        <v>700</v>
      </c>
      <c r="N35" s="1">
        <v>100</v>
      </c>
      <c r="O35" s="11">
        <f t="shared" si="2"/>
        <v>8930</v>
      </c>
      <c r="P35" s="40"/>
      <c r="Q35" s="69">
        <v>3</v>
      </c>
      <c r="R35" s="1"/>
      <c r="S35" s="1"/>
      <c r="T35" s="1"/>
    </row>
    <row r="36" spans="1:20">
      <c r="A36" s="4">
        <v>39</v>
      </c>
      <c r="B36" s="1" t="s">
        <v>91</v>
      </c>
      <c r="C36" s="1" t="s">
        <v>92</v>
      </c>
      <c r="D36" s="1" t="s">
        <v>93</v>
      </c>
      <c r="E36" s="1" t="s">
        <v>77</v>
      </c>
      <c r="F36" s="1" t="s">
        <v>530</v>
      </c>
      <c r="G36" s="1">
        <v>10</v>
      </c>
      <c r="H36" s="1">
        <v>383</v>
      </c>
      <c r="I36" s="10">
        <f t="shared" si="0"/>
        <v>3830</v>
      </c>
      <c r="J36" s="1"/>
      <c r="K36" s="1"/>
      <c r="L36" s="1">
        <f t="shared" si="1"/>
        <v>3830</v>
      </c>
      <c r="M36" s="1">
        <v>600</v>
      </c>
      <c r="N36" s="1">
        <v>100</v>
      </c>
      <c r="O36" s="11">
        <f t="shared" si="2"/>
        <v>3130</v>
      </c>
      <c r="P36" s="40"/>
      <c r="Q36" s="69">
        <v>5</v>
      </c>
      <c r="R36" s="1"/>
      <c r="S36" s="1"/>
      <c r="T36" s="1"/>
    </row>
    <row r="37" spans="1:20">
      <c r="A37" s="4">
        <v>40</v>
      </c>
      <c r="B37" s="1" t="s">
        <v>94</v>
      </c>
      <c r="C37" s="1" t="s">
        <v>92</v>
      </c>
      <c r="D37" s="1" t="s">
        <v>93</v>
      </c>
      <c r="E37" s="1" t="s">
        <v>77</v>
      </c>
      <c r="F37" s="1" t="s">
        <v>530</v>
      </c>
      <c r="G37" s="1">
        <v>10</v>
      </c>
      <c r="H37" s="1">
        <v>383</v>
      </c>
      <c r="I37" s="10">
        <f t="shared" si="0"/>
        <v>3830</v>
      </c>
      <c r="J37" s="1"/>
      <c r="K37" s="1"/>
      <c r="L37" s="1">
        <f t="shared" si="1"/>
        <v>3830</v>
      </c>
      <c r="M37" s="1"/>
      <c r="N37" s="1"/>
      <c r="O37" s="11">
        <f t="shared" si="2"/>
        <v>3830</v>
      </c>
      <c r="P37" s="40"/>
      <c r="Q37" s="69">
        <v>5</v>
      </c>
      <c r="R37" s="1"/>
      <c r="S37" s="1"/>
      <c r="T37" s="1"/>
    </row>
    <row r="38" spans="1:20">
      <c r="A38" s="4">
        <v>41</v>
      </c>
      <c r="B38" s="1" t="s">
        <v>95</v>
      </c>
      <c r="C38" s="1" t="s">
        <v>96</v>
      </c>
      <c r="D38" s="1" t="s">
        <v>97</v>
      </c>
      <c r="E38" s="1" t="s">
        <v>77</v>
      </c>
      <c r="F38" s="1" t="s">
        <v>530</v>
      </c>
      <c r="G38" s="1">
        <v>10</v>
      </c>
      <c r="H38" s="1">
        <v>403</v>
      </c>
      <c r="I38" s="10">
        <f t="shared" si="0"/>
        <v>4030</v>
      </c>
      <c r="J38" s="1"/>
      <c r="K38" s="1"/>
      <c r="L38" s="1">
        <f t="shared" si="1"/>
        <v>4030</v>
      </c>
      <c r="M38" s="1"/>
      <c r="N38" s="1"/>
      <c r="O38" s="11">
        <f t="shared" si="2"/>
        <v>4030</v>
      </c>
      <c r="P38" s="40"/>
      <c r="Q38" s="69">
        <v>5</v>
      </c>
      <c r="R38" s="1"/>
      <c r="S38" s="1"/>
      <c r="T38" s="1"/>
    </row>
    <row r="39" spans="1:20">
      <c r="A39" s="4">
        <v>42</v>
      </c>
      <c r="B39" s="1" t="s">
        <v>98</v>
      </c>
      <c r="C39" s="1" t="s">
        <v>17</v>
      </c>
      <c r="D39" s="1" t="s">
        <v>99</v>
      </c>
      <c r="E39" s="1" t="s">
        <v>24</v>
      </c>
      <c r="F39" s="1" t="s">
        <v>529</v>
      </c>
      <c r="G39" s="1">
        <v>13</v>
      </c>
      <c r="H39" s="1">
        <v>449</v>
      </c>
      <c r="I39" s="10">
        <f t="shared" si="0"/>
        <v>5837</v>
      </c>
      <c r="J39" s="1"/>
      <c r="K39" s="1"/>
      <c r="L39" s="1">
        <f t="shared" si="1"/>
        <v>5837</v>
      </c>
      <c r="M39" s="1">
        <v>260</v>
      </c>
      <c r="N39" s="1">
        <v>50</v>
      </c>
      <c r="O39" s="11">
        <f t="shared" si="2"/>
        <v>5527</v>
      </c>
      <c r="P39" s="40"/>
      <c r="Q39" s="69">
        <v>5</v>
      </c>
      <c r="R39" s="1"/>
      <c r="S39" s="1"/>
      <c r="T39" s="1"/>
    </row>
    <row r="40" spans="1:20">
      <c r="A40" s="4">
        <v>44</v>
      </c>
      <c r="B40" s="1" t="s">
        <v>100</v>
      </c>
      <c r="C40" s="1" t="s">
        <v>17</v>
      </c>
      <c r="D40" s="1" t="s">
        <v>27</v>
      </c>
      <c r="E40" s="1" t="s">
        <v>19</v>
      </c>
      <c r="F40" s="1" t="s">
        <v>529</v>
      </c>
      <c r="G40" s="1">
        <v>13</v>
      </c>
      <c r="H40" s="1">
        <v>225</v>
      </c>
      <c r="I40" s="10">
        <f t="shared" si="0"/>
        <v>2925</v>
      </c>
      <c r="J40" s="1"/>
      <c r="K40" s="1"/>
      <c r="L40" s="1">
        <f t="shared" si="1"/>
        <v>2925</v>
      </c>
      <c r="M40" s="1">
        <v>260</v>
      </c>
      <c r="N40" s="1">
        <v>50</v>
      </c>
      <c r="O40" s="11">
        <f t="shared" si="2"/>
        <v>2615</v>
      </c>
      <c r="P40" s="40"/>
      <c r="Q40" s="69">
        <v>5</v>
      </c>
      <c r="R40" s="1"/>
      <c r="S40" s="1"/>
      <c r="T40" s="1"/>
    </row>
    <row r="41" spans="1:20">
      <c r="A41" s="4">
        <v>42</v>
      </c>
      <c r="B41" s="1" t="s">
        <v>101</v>
      </c>
      <c r="C41" s="1" t="s">
        <v>17</v>
      </c>
      <c r="D41" s="1" t="s">
        <v>99</v>
      </c>
      <c r="E41" s="1" t="s">
        <v>9</v>
      </c>
      <c r="F41" s="1" t="s">
        <v>529</v>
      </c>
      <c r="G41" s="1">
        <v>13</v>
      </c>
      <c r="H41" s="1">
        <v>513</v>
      </c>
      <c r="I41" s="10">
        <f t="shared" si="0"/>
        <v>6669</v>
      </c>
      <c r="J41" s="1"/>
      <c r="K41" s="1"/>
      <c r="L41" s="1">
        <f t="shared" si="1"/>
        <v>6669</v>
      </c>
      <c r="M41" s="1">
        <v>260</v>
      </c>
      <c r="N41" s="1">
        <v>50</v>
      </c>
      <c r="O41" s="11">
        <f t="shared" si="2"/>
        <v>6359</v>
      </c>
      <c r="P41" s="40"/>
      <c r="Q41" s="69"/>
      <c r="R41" s="1"/>
      <c r="S41" s="1"/>
      <c r="T41" s="1"/>
    </row>
    <row r="42" spans="1:20">
      <c r="A42" s="4">
        <v>43</v>
      </c>
      <c r="B42" s="1" t="s">
        <v>102</v>
      </c>
      <c r="C42" s="1" t="s">
        <v>34</v>
      </c>
      <c r="D42" s="1" t="s">
        <v>8</v>
      </c>
      <c r="E42" s="1" t="s">
        <v>24</v>
      </c>
      <c r="F42" s="1" t="s">
        <v>529</v>
      </c>
      <c r="G42" s="1">
        <v>13</v>
      </c>
      <c r="H42" s="1">
        <v>469</v>
      </c>
      <c r="I42" s="10">
        <f t="shared" si="0"/>
        <v>6097</v>
      </c>
      <c r="J42" s="1"/>
      <c r="K42" s="1"/>
      <c r="L42" s="1">
        <f t="shared" si="1"/>
        <v>6097</v>
      </c>
      <c r="M42" s="1">
        <v>260</v>
      </c>
      <c r="N42" s="1">
        <v>50</v>
      </c>
      <c r="O42" s="11">
        <f t="shared" si="2"/>
        <v>5787</v>
      </c>
      <c r="P42" s="40" t="s">
        <v>497</v>
      </c>
      <c r="Q42" s="69" t="s">
        <v>522</v>
      </c>
      <c r="R42" s="1"/>
      <c r="S42" s="1"/>
      <c r="T42" s="1"/>
    </row>
    <row r="43" spans="1:20">
      <c r="A43" s="4">
        <v>45</v>
      </c>
      <c r="B43" s="1" t="s">
        <v>103</v>
      </c>
      <c r="C43" s="1" t="s">
        <v>104</v>
      </c>
      <c r="D43" s="1" t="s">
        <v>105</v>
      </c>
      <c r="E43" s="1" t="s">
        <v>106</v>
      </c>
      <c r="F43" s="1"/>
      <c r="G43" s="1">
        <v>30</v>
      </c>
      <c r="H43" s="1">
        <v>501</v>
      </c>
      <c r="I43" s="10">
        <f t="shared" si="0"/>
        <v>15030</v>
      </c>
      <c r="J43" s="1"/>
      <c r="K43" s="1"/>
      <c r="L43" s="1">
        <f t="shared" si="1"/>
        <v>15030</v>
      </c>
      <c r="M43" s="1">
        <v>600</v>
      </c>
      <c r="N43" s="1">
        <v>100</v>
      </c>
      <c r="O43" s="11">
        <f t="shared" si="2"/>
        <v>14330</v>
      </c>
      <c r="P43" s="40" t="s">
        <v>497</v>
      </c>
      <c r="Q43" s="69" t="s">
        <v>522</v>
      </c>
      <c r="R43" s="1"/>
      <c r="S43" s="1"/>
      <c r="T43" s="1"/>
    </row>
    <row r="44" spans="1:20">
      <c r="A44" s="4">
        <v>47</v>
      </c>
      <c r="B44" s="1" t="s">
        <v>107</v>
      </c>
      <c r="C44" s="1" t="s">
        <v>34</v>
      </c>
      <c r="D44" s="1" t="s">
        <v>46</v>
      </c>
      <c r="E44" s="1" t="s">
        <v>9</v>
      </c>
      <c r="F44" s="1" t="s">
        <v>529</v>
      </c>
      <c r="G44" s="1">
        <v>13</v>
      </c>
      <c r="H44" s="1">
        <v>297</v>
      </c>
      <c r="I44" s="10">
        <f t="shared" si="0"/>
        <v>3861</v>
      </c>
      <c r="J44" s="1"/>
      <c r="K44" s="1"/>
      <c r="L44" s="1">
        <f t="shared" si="1"/>
        <v>3861</v>
      </c>
      <c r="M44" s="1"/>
      <c r="N44" s="1"/>
      <c r="O44" s="11">
        <f t="shared" si="2"/>
        <v>3861</v>
      </c>
      <c r="P44" s="40" t="s">
        <v>497</v>
      </c>
      <c r="Q44" s="69" t="s">
        <v>526</v>
      </c>
      <c r="R44" s="1"/>
      <c r="S44" s="1"/>
      <c r="T44" s="1"/>
    </row>
    <row r="45" spans="1:20">
      <c r="A45" s="4">
        <v>46</v>
      </c>
      <c r="B45" s="1" t="s">
        <v>108</v>
      </c>
      <c r="C45" s="1" t="s">
        <v>17</v>
      </c>
      <c r="D45" s="1" t="s">
        <v>18</v>
      </c>
      <c r="E45" s="1" t="s">
        <v>19</v>
      </c>
      <c r="F45" s="1" t="s">
        <v>529</v>
      </c>
      <c r="G45" s="1">
        <v>13</v>
      </c>
      <c r="H45" s="1">
        <v>368</v>
      </c>
      <c r="I45" s="10">
        <f t="shared" si="0"/>
        <v>4784</v>
      </c>
      <c r="J45" s="1"/>
      <c r="K45" s="1"/>
      <c r="L45" s="1">
        <f t="shared" si="1"/>
        <v>4784</v>
      </c>
      <c r="M45" s="1"/>
      <c r="N45" s="1"/>
      <c r="O45" s="11">
        <f t="shared" si="2"/>
        <v>4784</v>
      </c>
      <c r="P45" s="40"/>
      <c r="Q45" s="69">
        <v>5</v>
      </c>
      <c r="R45" s="1"/>
      <c r="S45" s="1"/>
      <c r="T45" s="1"/>
    </row>
    <row r="46" spans="1:20">
      <c r="A46" s="4">
        <v>50</v>
      </c>
      <c r="B46" s="1" t="s">
        <v>109</v>
      </c>
      <c r="C46" s="1" t="s">
        <v>110</v>
      </c>
      <c r="D46" s="1" t="s">
        <v>31</v>
      </c>
      <c r="E46" s="1" t="s">
        <v>24</v>
      </c>
      <c r="F46" s="1" t="s">
        <v>529</v>
      </c>
      <c r="G46" s="1">
        <v>13</v>
      </c>
      <c r="H46" s="1">
        <v>360</v>
      </c>
      <c r="I46" s="10">
        <f t="shared" si="0"/>
        <v>4680</v>
      </c>
      <c r="J46" s="1"/>
      <c r="K46" s="1"/>
      <c r="L46" s="1">
        <f t="shared" si="1"/>
        <v>4680</v>
      </c>
      <c r="M46" s="1"/>
      <c r="N46" s="1"/>
      <c r="O46" s="11">
        <f t="shared" si="2"/>
        <v>4680</v>
      </c>
      <c r="P46" s="40"/>
      <c r="Q46" s="69">
        <v>3</v>
      </c>
      <c r="R46" s="1"/>
      <c r="S46" s="1"/>
      <c r="T46" s="1"/>
    </row>
    <row r="47" spans="1:20">
      <c r="A47" s="4">
        <v>49</v>
      </c>
      <c r="B47" s="1" t="s">
        <v>111</v>
      </c>
      <c r="C47" s="1" t="s">
        <v>112</v>
      </c>
      <c r="D47" s="1" t="s">
        <v>113</v>
      </c>
      <c r="E47" s="1" t="s">
        <v>114</v>
      </c>
      <c r="F47" s="1" t="s">
        <v>532</v>
      </c>
      <c r="G47" s="1">
        <v>10</v>
      </c>
      <c r="H47" s="1">
        <v>421</v>
      </c>
      <c r="I47" s="10">
        <f t="shared" si="0"/>
        <v>4210</v>
      </c>
      <c r="J47" s="1"/>
      <c r="K47" s="1">
        <v>6000</v>
      </c>
      <c r="L47" s="1">
        <f t="shared" si="1"/>
        <v>-1790</v>
      </c>
      <c r="M47" s="1">
        <v>500</v>
      </c>
      <c r="N47" s="1">
        <v>100</v>
      </c>
      <c r="O47" s="11">
        <f t="shared" si="2"/>
        <v>-2390</v>
      </c>
      <c r="P47" s="40" t="s">
        <v>497</v>
      </c>
      <c r="Q47" s="69" t="s">
        <v>522</v>
      </c>
      <c r="R47" s="1"/>
      <c r="S47" s="1"/>
      <c r="T47" s="1"/>
    </row>
    <row r="48" spans="1:20">
      <c r="A48" s="4">
        <v>48</v>
      </c>
      <c r="B48" s="1" t="s">
        <v>115</v>
      </c>
      <c r="C48" s="1" t="s">
        <v>112</v>
      </c>
      <c r="D48" s="1" t="s">
        <v>116</v>
      </c>
      <c r="E48" s="1" t="s">
        <v>114</v>
      </c>
      <c r="F48" s="1" t="s">
        <v>532</v>
      </c>
      <c r="G48" s="1">
        <v>15</v>
      </c>
      <c r="H48" s="1">
        <v>368</v>
      </c>
      <c r="I48" s="10">
        <f t="shared" si="0"/>
        <v>5520</v>
      </c>
      <c r="J48" s="1"/>
      <c r="K48" s="1"/>
      <c r="L48" s="1">
        <f t="shared" si="1"/>
        <v>5520</v>
      </c>
      <c r="M48" s="1"/>
      <c r="N48" s="1"/>
      <c r="O48" s="11">
        <f t="shared" si="2"/>
        <v>5520</v>
      </c>
      <c r="P48" s="40" t="s">
        <v>497</v>
      </c>
      <c r="Q48" s="69" t="s">
        <v>522</v>
      </c>
      <c r="R48" s="1"/>
      <c r="S48" s="1"/>
      <c r="T48" s="1"/>
    </row>
    <row r="49" spans="1:20">
      <c r="A49" s="4">
        <v>51</v>
      </c>
      <c r="B49" s="1" t="s">
        <v>117</v>
      </c>
      <c r="C49" s="1" t="s">
        <v>34</v>
      </c>
      <c r="D49" s="1" t="s">
        <v>118</v>
      </c>
      <c r="E49" s="1" t="s">
        <v>9</v>
      </c>
      <c r="F49" s="1" t="s">
        <v>529</v>
      </c>
      <c r="G49" s="1">
        <v>13</v>
      </c>
      <c r="H49" s="1">
        <v>393</v>
      </c>
      <c r="I49" s="10">
        <f t="shared" si="0"/>
        <v>5109</v>
      </c>
      <c r="J49" s="1"/>
      <c r="K49" s="1"/>
      <c r="L49" s="1">
        <f t="shared" si="1"/>
        <v>5109</v>
      </c>
      <c r="M49" s="1"/>
      <c r="N49" s="1"/>
      <c r="O49" s="11">
        <f t="shared" si="2"/>
        <v>5109</v>
      </c>
      <c r="P49" s="40" t="s">
        <v>497</v>
      </c>
      <c r="Q49" s="69" t="s">
        <v>526</v>
      </c>
      <c r="R49" s="1"/>
      <c r="S49" s="1"/>
      <c r="T49" s="1"/>
    </row>
    <row r="50" spans="1:20">
      <c r="A50" s="4">
        <v>53</v>
      </c>
      <c r="B50" s="1" t="s">
        <v>119</v>
      </c>
      <c r="C50" s="1" t="s">
        <v>37</v>
      </c>
      <c r="D50" s="1" t="s">
        <v>120</v>
      </c>
      <c r="E50" s="1" t="s">
        <v>14</v>
      </c>
      <c r="F50" s="1" t="s">
        <v>529</v>
      </c>
      <c r="G50" s="1">
        <v>25</v>
      </c>
      <c r="H50" s="1">
        <v>440</v>
      </c>
      <c r="I50" s="10">
        <f t="shared" si="0"/>
        <v>11000</v>
      </c>
      <c r="J50" s="1"/>
      <c r="K50" s="1"/>
      <c r="L50" s="1">
        <f t="shared" si="1"/>
        <v>11000</v>
      </c>
      <c r="M50" s="1"/>
      <c r="N50" s="1"/>
      <c r="O50" s="11">
        <f t="shared" si="2"/>
        <v>11000</v>
      </c>
      <c r="P50" s="40"/>
      <c r="Q50" s="69">
        <v>5</v>
      </c>
      <c r="R50" s="1"/>
      <c r="S50" s="1"/>
      <c r="T50" s="1"/>
    </row>
    <row r="51" spans="1:20">
      <c r="A51" s="4">
        <v>52</v>
      </c>
      <c r="B51" s="1" t="s">
        <v>121</v>
      </c>
      <c r="C51" s="1" t="s">
        <v>122</v>
      </c>
      <c r="D51" s="1" t="s">
        <v>123</v>
      </c>
      <c r="E51" s="1" t="s">
        <v>52</v>
      </c>
      <c r="F51" s="1"/>
      <c r="G51" s="1">
        <v>25</v>
      </c>
      <c r="H51" s="1">
        <v>339</v>
      </c>
      <c r="I51" s="10">
        <f t="shared" si="0"/>
        <v>8475</v>
      </c>
      <c r="J51" s="1"/>
      <c r="K51" s="1"/>
      <c r="L51" s="1">
        <f t="shared" si="1"/>
        <v>8475</v>
      </c>
      <c r="M51" s="1"/>
      <c r="N51" s="1"/>
      <c r="O51" s="11">
        <f t="shared" si="2"/>
        <v>8475</v>
      </c>
      <c r="P51" s="40"/>
      <c r="Q51" s="69">
        <v>3</v>
      </c>
      <c r="R51" s="1"/>
      <c r="S51" s="1"/>
      <c r="T51" s="1"/>
    </row>
    <row r="52" spans="1:20">
      <c r="A52" s="4">
        <v>55</v>
      </c>
      <c r="B52" s="1" t="s">
        <v>124</v>
      </c>
      <c r="C52" s="1" t="s">
        <v>125</v>
      </c>
      <c r="D52" s="1" t="s">
        <v>126</v>
      </c>
      <c r="E52" s="1" t="s">
        <v>127</v>
      </c>
      <c r="F52" s="1"/>
      <c r="G52" s="1">
        <v>5</v>
      </c>
      <c r="H52" s="1">
        <v>345</v>
      </c>
      <c r="I52" s="10">
        <f t="shared" si="0"/>
        <v>1725</v>
      </c>
      <c r="J52" s="1"/>
      <c r="K52" s="1"/>
      <c r="L52" s="1">
        <f t="shared" si="1"/>
        <v>1725</v>
      </c>
      <c r="M52" s="1"/>
      <c r="N52" s="1"/>
      <c r="O52" s="11">
        <f t="shared" si="2"/>
        <v>1725</v>
      </c>
      <c r="P52" s="40"/>
      <c r="Q52" s="69">
        <v>3</v>
      </c>
      <c r="R52" s="1"/>
      <c r="S52" s="1"/>
      <c r="T52" s="1"/>
    </row>
    <row r="53" spans="1:20">
      <c r="A53" s="4">
        <v>54</v>
      </c>
      <c r="B53" s="1" t="s">
        <v>128</v>
      </c>
      <c r="C53" s="1" t="s">
        <v>125</v>
      </c>
      <c r="D53" s="1" t="s">
        <v>126</v>
      </c>
      <c r="E53" s="1" t="s">
        <v>127</v>
      </c>
      <c r="F53" s="1"/>
      <c r="G53" s="1">
        <v>20</v>
      </c>
      <c r="H53" s="1">
        <v>345</v>
      </c>
      <c r="I53" s="10">
        <f t="shared" si="0"/>
        <v>6900</v>
      </c>
      <c r="J53" s="1"/>
      <c r="K53" s="1"/>
      <c r="L53" s="1">
        <f t="shared" si="1"/>
        <v>6900</v>
      </c>
      <c r="M53" s="1"/>
      <c r="N53" s="1"/>
      <c r="O53" s="11">
        <f t="shared" si="2"/>
        <v>6900</v>
      </c>
      <c r="P53" s="40"/>
      <c r="Q53" s="69">
        <v>3</v>
      </c>
      <c r="R53" s="1"/>
      <c r="S53" s="1"/>
      <c r="T53" s="1"/>
    </row>
    <row r="54" spans="1:20">
      <c r="A54" s="4">
        <v>56</v>
      </c>
      <c r="B54" s="1" t="s">
        <v>129</v>
      </c>
      <c r="C54" s="1" t="s">
        <v>130</v>
      </c>
      <c r="D54" s="1" t="s">
        <v>66</v>
      </c>
      <c r="E54" s="1" t="s">
        <v>47</v>
      </c>
      <c r="F54" s="1" t="s">
        <v>530</v>
      </c>
      <c r="G54" s="1">
        <v>35</v>
      </c>
      <c r="H54" s="1">
        <v>454</v>
      </c>
      <c r="I54" s="10">
        <f t="shared" si="0"/>
        <v>15890</v>
      </c>
      <c r="J54" s="1"/>
      <c r="K54" s="1"/>
      <c r="L54" s="1">
        <f t="shared" si="1"/>
        <v>15890</v>
      </c>
      <c r="M54" s="1"/>
      <c r="N54" s="1"/>
      <c r="O54" s="11">
        <f t="shared" si="2"/>
        <v>15890</v>
      </c>
      <c r="P54" s="40"/>
      <c r="Q54" s="69">
        <v>3</v>
      </c>
      <c r="R54" s="1"/>
      <c r="S54" s="1"/>
      <c r="T54" s="1"/>
    </row>
    <row r="55" spans="1:20">
      <c r="A55" s="4">
        <v>57</v>
      </c>
      <c r="B55" s="1" t="s">
        <v>131</v>
      </c>
      <c r="C55" s="1" t="s">
        <v>17</v>
      </c>
      <c r="D55" s="1" t="s">
        <v>132</v>
      </c>
      <c r="E55" s="1" t="s">
        <v>24</v>
      </c>
      <c r="F55" s="1" t="s">
        <v>529</v>
      </c>
      <c r="G55" s="1">
        <v>13</v>
      </c>
      <c r="H55" s="1">
        <v>490</v>
      </c>
      <c r="I55" s="10">
        <f t="shared" si="0"/>
        <v>6370</v>
      </c>
      <c r="J55" s="1"/>
      <c r="K55" s="1"/>
      <c r="L55" s="1">
        <f t="shared" si="1"/>
        <v>6370</v>
      </c>
      <c r="M55" s="1"/>
      <c r="N55" s="1"/>
      <c r="O55" s="11">
        <f t="shared" si="2"/>
        <v>6370</v>
      </c>
      <c r="P55" s="40"/>
      <c r="Q55" s="69">
        <v>3</v>
      </c>
      <c r="R55" s="1"/>
      <c r="S55" s="1"/>
      <c r="T55" s="1"/>
    </row>
    <row r="56" spans="1:20">
      <c r="A56" s="4">
        <v>58</v>
      </c>
      <c r="B56" s="1" t="s">
        <v>133</v>
      </c>
      <c r="C56" s="1" t="s">
        <v>134</v>
      </c>
      <c r="D56" s="1" t="s">
        <v>23</v>
      </c>
      <c r="E56" s="1" t="s">
        <v>19</v>
      </c>
      <c r="F56" s="1" t="s">
        <v>529</v>
      </c>
      <c r="G56" s="1">
        <v>13</v>
      </c>
      <c r="H56" s="1">
        <v>449</v>
      </c>
      <c r="I56" s="10">
        <f t="shared" si="0"/>
        <v>5837</v>
      </c>
      <c r="J56" s="1"/>
      <c r="K56" s="1"/>
      <c r="L56" s="1">
        <f t="shared" si="1"/>
        <v>5837</v>
      </c>
      <c r="M56" s="1"/>
      <c r="N56" s="1"/>
      <c r="O56" s="11">
        <f t="shared" si="2"/>
        <v>5837</v>
      </c>
      <c r="P56" s="40" t="s">
        <v>497</v>
      </c>
      <c r="Q56" s="69"/>
      <c r="R56" s="1"/>
      <c r="S56" s="1"/>
      <c r="T56" s="1"/>
    </row>
    <row r="57" spans="1:20">
      <c r="A57" s="4">
        <v>60</v>
      </c>
      <c r="B57" s="1" t="s">
        <v>135</v>
      </c>
      <c r="C57" s="1" t="s">
        <v>136</v>
      </c>
      <c r="D57" s="1" t="s">
        <v>137</v>
      </c>
      <c r="E57" s="1" t="s">
        <v>43</v>
      </c>
      <c r="F57" s="1" t="s">
        <v>530</v>
      </c>
      <c r="G57" s="1">
        <v>15</v>
      </c>
      <c r="H57" s="1">
        <v>484</v>
      </c>
      <c r="I57" s="10">
        <f t="shared" si="0"/>
        <v>7260</v>
      </c>
      <c r="J57" s="1"/>
      <c r="K57" s="1"/>
      <c r="L57" s="1">
        <f t="shared" si="1"/>
        <v>7260</v>
      </c>
      <c r="M57" s="1"/>
      <c r="N57" s="1"/>
      <c r="O57" s="11">
        <f t="shared" si="2"/>
        <v>7260</v>
      </c>
      <c r="P57" s="40" t="s">
        <v>497</v>
      </c>
      <c r="Q57" s="69"/>
      <c r="R57" s="1"/>
      <c r="S57" s="1"/>
      <c r="T57" s="1"/>
    </row>
    <row r="58" spans="1:20">
      <c r="A58" s="4">
        <v>59</v>
      </c>
      <c r="B58" s="1" t="s">
        <v>138</v>
      </c>
      <c r="C58" s="1" t="s">
        <v>139</v>
      </c>
      <c r="D58" s="1" t="s">
        <v>137</v>
      </c>
      <c r="E58" s="1" t="s">
        <v>43</v>
      </c>
      <c r="F58" s="1" t="s">
        <v>530</v>
      </c>
      <c r="G58" s="1">
        <v>15</v>
      </c>
      <c r="H58" s="1">
        <v>484</v>
      </c>
      <c r="I58" s="10">
        <f t="shared" si="0"/>
        <v>7260</v>
      </c>
      <c r="J58" s="1"/>
      <c r="K58" s="1"/>
      <c r="L58" s="1">
        <f t="shared" si="1"/>
        <v>7260</v>
      </c>
      <c r="M58" s="1"/>
      <c r="N58" s="1"/>
      <c r="O58" s="11">
        <f t="shared" si="2"/>
        <v>7260</v>
      </c>
      <c r="P58" s="40" t="s">
        <v>497</v>
      </c>
      <c r="Q58" s="69" t="s">
        <v>526</v>
      </c>
      <c r="R58" s="1"/>
      <c r="S58" s="1"/>
      <c r="T58" s="1"/>
    </row>
    <row r="59" spans="1:20">
      <c r="A59" s="4">
        <v>61</v>
      </c>
      <c r="B59" s="1" t="s">
        <v>140</v>
      </c>
      <c r="C59" s="1" t="s">
        <v>141</v>
      </c>
      <c r="D59" s="1" t="s">
        <v>31</v>
      </c>
      <c r="E59" s="1" t="s">
        <v>24</v>
      </c>
      <c r="F59" s="1" t="s">
        <v>529</v>
      </c>
      <c r="G59" s="1">
        <v>13</v>
      </c>
      <c r="H59" s="1">
        <v>360</v>
      </c>
      <c r="I59" s="10">
        <f t="shared" si="0"/>
        <v>4680</v>
      </c>
      <c r="J59" s="1"/>
      <c r="K59" s="1"/>
      <c r="L59" s="1">
        <f t="shared" si="1"/>
        <v>4680</v>
      </c>
      <c r="M59" s="1"/>
      <c r="N59" s="1"/>
      <c r="O59" s="11">
        <f t="shared" si="2"/>
        <v>4680</v>
      </c>
      <c r="P59" s="40" t="s">
        <v>497</v>
      </c>
      <c r="Q59" s="69" t="s">
        <v>522</v>
      </c>
      <c r="R59" s="1"/>
      <c r="S59" s="1"/>
      <c r="T59" s="1"/>
    </row>
    <row r="60" spans="1:20">
      <c r="A60" s="4">
        <v>62</v>
      </c>
      <c r="B60" s="1" t="s">
        <v>142</v>
      </c>
      <c r="C60" s="1" t="s">
        <v>143</v>
      </c>
      <c r="D60" s="1" t="s">
        <v>46</v>
      </c>
      <c r="E60" s="1" t="s">
        <v>9</v>
      </c>
      <c r="F60" s="1" t="s">
        <v>529</v>
      </c>
      <c r="G60" s="1">
        <v>13</v>
      </c>
      <c r="H60" s="1">
        <v>297</v>
      </c>
      <c r="I60" s="10">
        <f t="shared" si="0"/>
        <v>3861</v>
      </c>
      <c r="J60" s="1"/>
      <c r="K60" s="1"/>
      <c r="L60" s="1">
        <f t="shared" si="1"/>
        <v>3861</v>
      </c>
      <c r="M60" s="1"/>
      <c r="N60" s="1"/>
      <c r="O60" s="11">
        <f t="shared" si="2"/>
        <v>3861</v>
      </c>
      <c r="P60" s="40" t="s">
        <v>497</v>
      </c>
      <c r="Q60" s="69" t="s">
        <v>526</v>
      </c>
      <c r="R60" s="1"/>
      <c r="S60" s="1"/>
      <c r="T60" s="1"/>
    </row>
    <row r="61" spans="1:20">
      <c r="A61" s="4">
        <v>63</v>
      </c>
      <c r="B61" s="1" t="s">
        <v>144</v>
      </c>
      <c r="C61" s="1" t="s">
        <v>145</v>
      </c>
      <c r="D61" s="1" t="s">
        <v>118</v>
      </c>
      <c r="E61" s="1" t="s">
        <v>19</v>
      </c>
      <c r="F61" s="1" t="s">
        <v>529</v>
      </c>
      <c r="G61" s="1">
        <v>13</v>
      </c>
      <c r="H61" s="1">
        <v>389</v>
      </c>
      <c r="I61" s="10">
        <f t="shared" si="0"/>
        <v>5057</v>
      </c>
      <c r="J61" s="1"/>
      <c r="K61" s="1"/>
      <c r="L61" s="1">
        <f t="shared" si="1"/>
        <v>5057</v>
      </c>
      <c r="M61" s="1"/>
      <c r="N61" s="1"/>
      <c r="O61" s="11">
        <f t="shared" si="2"/>
        <v>5057</v>
      </c>
      <c r="P61" s="40" t="s">
        <v>497</v>
      </c>
      <c r="Q61" s="69" t="s">
        <v>526</v>
      </c>
      <c r="R61" s="1"/>
      <c r="S61" s="1"/>
      <c r="T61" s="1"/>
    </row>
    <row r="62" spans="1:20">
      <c r="A62" s="4">
        <v>64</v>
      </c>
      <c r="B62" s="1" t="s">
        <v>146</v>
      </c>
      <c r="C62" s="1" t="s">
        <v>37</v>
      </c>
      <c r="D62" s="1" t="s">
        <v>51</v>
      </c>
      <c r="E62" s="1" t="s">
        <v>114</v>
      </c>
      <c r="F62" s="1" t="s">
        <v>532</v>
      </c>
      <c r="G62" s="1">
        <v>25</v>
      </c>
      <c r="H62" s="1">
        <v>304</v>
      </c>
      <c r="I62" s="10">
        <f t="shared" si="0"/>
        <v>7600</v>
      </c>
      <c r="J62" s="1"/>
      <c r="K62" s="1">
        <v>5000</v>
      </c>
      <c r="L62" s="1">
        <f t="shared" si="1"/>
        <v>2600</v>
      </c>
      <c r="M62" s="1">
        <v>500</v>
      </c>
      <c r="N62" s="1">
        <v>100</v>
      </c>
      <c r="O62" s="11">
        <f t="shared" si="2"/>
        <v>2000</v>
      </c>
      <c r="P62" s="40"/>
      <c r="Q62" s="69">
        <v>3</v>
      </c>
      <c r="R62" s="1"/>
      <c r="S62" s="1"/>
      <c r="T62" s="1"/>
    </row>
    <row r="63" spans="1:20">
      <c r="A63" s="4">
        <v>66</v>
      </c>
      <c r="B63" s="1" t="s">
        <v>147</v>
      </c>
      <c r="C63" s="1" t="s">
        <v>148</v>
      </c>
      <c r="D63" s="1" t="s">
        <v>149</v>
      </c>
      <c r="E63" s="1" t="s">
        <v>150</v>
      </c>
      <c r="F63" s="1"/>
      <c r="G63" s="1">
        <v>18</v>
      </c>
      <c r="H63" s="1">
        <v>477</v>
      </c>
      <c r="I63" s="10">
        <f t="shared" si="0"/>
        <v>8586</v>
      </c>
      <c r="J63" s="1">
        <v>5000</v>
      </c>
      <c r="K63" s="1">
        <v>2000</v>
      </c>
      <c r="L63" s="1">
        <f t="shared" si="1"/>
        <v>1586</v>
      </c>
      <c r="M63" s="1"/>
      <c r="N63" s="1"/>
      <c r="O63" s="11">
        <f t="shared" si="2"/>
        <v>1586</v>
      </c>
      <c r="P63" s="40"/>
      <c r="Q63" s="69" t="s">
        <v>525</v>
      </c>
      <c r="R63" s="1"/>
      <c r="S63" s="1"/>
      <c r="T63" s="1"/>
    </row>
    <row r="64" spans="1:20">
      <c r="A64" s="4">
        <v>68</v>
      </c>
      <c r="B64" s="1" t="s">
        <v>151</v>
      </c>
      <c r="C64" s="1" t="s">
        <v>17</v>
      </c>
      <c r="D64" s="1" t="s">
        <v>46</v>
      </c>
      <c r="E64" s="1" t="s">
        <v>19</v>
      </c>
      <c r="F64" s="1" t="s">
        <v>529</v>
      </c>
      <c r="G64" s="1">
        <v>13</v>
      </c>
      <c r="H64" s="1">
        <v>297</v>
      </c>
      <c r="I64" s="10">
        <f t="shared" si="0"/>
        <v>3861</v>
      </c>
      <c r="J64" s="1"/>
      <c r="K64" s="1"/>
      <c r="L64" s="1">
        <f t="shared" si="1"/>
        <v>3861</v>
      </c>
      <c r="M64" s="1"/>
      <c r="N64" s="1"/>
      <c r="O64" s="11">
        <f t="shared" si="2"/>
        <v>3861</v>
      </c>
      <c r="P64" s="40"/>
      <c r="Q64" s="69">
        <v>5</v>
      </c>
      <c r="R64" s="1"/>
      <c r="S64" s="1"/>
      <c r="T64" s="1"/>
    </row>
    <row r="65" spans="1:20">
      <c r="A65" s="4">
        <v>67</v>
      </c>
      <c r="B65" s="1" t="s">
        <v>152</v>
      </c>
      <c r="C65" s="1" t="s">
        <v>17</v>
      </c>
      <c r="D65" s="1" t="s">
        <v>27</v>
      </c>
      <c r="E65" s="1" t="s">
        <v>9</v>
      </c>
      <c r="F65" s="1" t="s">
        <v>529</v>
      </c>
      <c r="G65" s="1">
        <v>13</v>
      </c>
      <c r="H65" s="1">
        <v>225</v>
      </c>
      <c r="I65" s="10">
        <f t="shared" si="0"/>
        <v>2925</v>
      </c>
      <c r="J65" s="1"/>
      <c r="K65" s="1"/>
      <c r="L65" s="1">
        <f t="shared" si="1"/>
        <v>2925</v>
      </c>
      <c r="M65" s="1"/>
      <c r="N65" s="1"/>
      <c r="O65" s="11">
        <f t="shared" si="2"/>
        <v>2925</v>
      </c>
      <c r="P65" s="40"/>
      <c r="Q65" s="69">
        <v>5</v>
      </c>
      <c r="R65" s="1"/>
      <c r="S65" s="1"/>
      <c r="T65" s="1"/>
    </row>
    <row r="66" spans="1:20">
      <c r="A66" s="4">
        <v>69</v>
      </c>
      <c r="B66" s="1" t="s">
        <v>153</v>
      </c>
      <c r="C66" s="1" t="s">
        <v>7</v>
      </c>
      <c r="D66" s="1" t="s">
        <v>8</v>
      </c>
      <c r="E66" s="1" t="s">
        <v>24</v>
      </c>
      <c r="F66" s="1" t="s">
        <v>529</v>
      </c>
      <c r="G66" s="1">
        <v>13</v>
      </c>
      <c r="H66" s="1">
        <v>461</v>
      </c>
      <c r="I66" s="10">
        <f t="shared" si="0"/>
        <v>5993</v>
      </c>
      <c r="J66" s="1"/>
      <c r="K66" s="1"/>
      <c r="L66" s="1">
        <f t="shared" si="1"/>
        <v>5993</v>
      </c>
      <c r="M66" s="1"/>
      <c r="N66" s="1"/>
      <c r="O66" s="11">
        <f t="shared" si="2"/>
        <v>5993</v>
      </c>
      <c r="P66" s="40"/>
      <c r="Q66" s="69">
        <v>3</v>
      </c>
      <c r="R66" s="1"/>
      <c r="S66" s="1"/>
      <c r="T66" s="1"/>
    </row>
    <row r="67" spans="1:20">
      <c r="A67" s="4">
        <v>70</v>
      </c>
      <c r="B67" s="1" t="s">
        <v>154</v>
      </c>
      <c r="C67" s="1" t="s">
        <v>139</v>
      </c>
      <c r="D67" s="1" t="s">
        <v>155</v>
      </c>
      <c r="E67" s="1" t="s">
        <v>156</v>
      </c>
      <c r="F67" s="1"/>
      <c r="G67" s="1">
        <v>25</v>
      </c>
      <c r="H67" s="1">
        <v>452</v>
      </c>
      <c r="I67" s="10">
        <f t="shared" si="0"/>
        <v>11300</v>
      </c>
      <c r="J67" s="1">
        <v>5000</v>
      </c>
      <c r="K67" s="1">
        <v>2000</v>
      </c>
      <c r="L67" s="1">
        <f t="shared" si="1"/>
        <v>4300</v>
      </c>
      <c r="M67" s="1"/>
      <c r="N67" s="1"/>
      <c r="O67" s="11">
        <f t="shared" si="2"/>
        <v>4300</v>
      </c>
      <c r="P67" s="40" t="s">
        <v>497</v>
      </c>
      <c r="Q67" s="69" t="s">
        <v>522</v>
      </c>
      <c r="R67" s="1"/>
      <c r="S67" s="1"/>
      <c r="T67" s="1"/>
    </row>
    <row r="68" spans="1:20">
      <c r="A68" s="4">
        <v>72</v>
      </c>
      <c r="B68" s="1" t="s">
        <v>157</v>
      </c>
      <c r="C68" s="1" t="s">
        <v>158</v>
      </c>
      <c r="D68" s="1" t="s">
        <v>85</v>
      </c>
      <c r="E68" s="1" t="s">
        <v>14</v>
      </c>
      <c r="F68" s="1" t="s">
        <v>529</v>
      </c>
      <c r="G68" s="1">
        <v>25</v>
      </c>
      <c r="H68" s="1">
        <v>429</v>
      </c>
      <c r="I68" s="10">
        <f t="shared" ref="I68:I131" si="3">H68*G68</f>
        <v>10725</v>
      </c>
      <c r="J68" s="1"/>
      <c r="K68" s="1"/>
      <c r="L68" s="1">
        <f t="shared" ref="L68" si="4">I68-J68-K68</f>
        <v>10725</v>
      </c>
      <c r="M68" s="1"/>
      <c r="N68" s="1"/>
      <c r="O68" s="11">
        <f t="shared" ref="O68:O131" si="5">L68-M68-N68</f>
        <v>10725</v>
      </c>
      <c r="P68" s="40"/>
      <c r="Q68" s="69">
        <v>5</v>
      </c>
      <c r="R68" s="1"/>
      <c r="S68" s="1"/>
      <c r="T68" s="1"/>
    </row>
    <row r="69" spans="1:20">
      <c r="A69" s="4">
        <v>71</v>
      </c>
      <c r="B69" s="1" t="s">
        <v>159</v>
      </c>
      <c r="C69" s="1" t="s">
        <v>139</v>
      </c>
      <c r="D69" s="1" t="s">
        <v>137</v>
      </c>
      <c r="E69" s="1" t="s">
        <v>160</v>
      </c>
      <c r="F69" s="1" t="s">
        <v>533</v>
      </c>
      <c r="G69" s="1">
        <v>25</v>
      </c>
      <c r="H69" s="1">
        <v>490</v>
      </c>
      <c r="I69" s="10">
        <f t="shared" si="3"/>
        <v>12250</v>
      </c>
      <c r="J69" s="1"/>
      <c r="K69" s="1">
        <v>9500</v>
      </c>
      <c r="L69" s="1">
        <f>I69-J69-K69</f>
        <v>2750</v>
      </c>
      <c r="M69" s="1">
        <v>500</v>
      </c>
      <c r="N69" s="1">
        <v>100</v>
      </c>
      <c r="O69" s="11">
        <f t="shared" si="5"/>
        <v>2150</v>
      </c>
      <c r="P69" s="40" t="s">
        <v>497</v>
      </c>
      <c r="Q69" s="69" t="s">
        <v>526</v>
      </c>
      <c r="R69" s="1"/>
      <c r="S69" s="1"/>
      <c r="T69" s="1"/>
    </row>
    <row r="70" spans="1:20">
      <c r="A70" s="4">
        <v>75</v>
      </c>
      <c r="B70" s="1" t="s">
        <v>161</v>
      </c>
      <c r="C70" s="1" t="s">
        <v>148</v>
      </c>
      <c r="D70" s="1" t="s">
        <v>116</v>
      </c>
      <c r="E70" s="1" t="s">
        <v>114</v>
      </c>
      <c r="F70" s="1" t="s">
        <v>532</v>
      </c>
      <c r="G70" s="1">
        <v>20</v>
      </c>
      <c r="H70" s="1">
        <v>386</v>
      </c>
      <c r="I70" s="10">
        <f t="shared" si="3"/>
        <v>7720</v>
      </c>
      <c r="J70" s="1"/>
      <c r="K70" s="1">
        <v>6000</v>
      </c>
      <c r="L70" s="1">
        <f t="shared" ref="L70:L133" si="6">I70-J70-K70</f>
        <v>1720</v>
      </c>
      <c r="M70" s="1">
        <v>400</v>
      </c>
      <c r="N70" s="1">
        <v>100</v>
      </c>
      <c r="O70" s="11">
        <f t="shared" si="5"/>
        <v>1220</v>
      </c>
      <c r="P70" s="40"/>
      <c r="Q70" s="69" t="s">
        <v>525</v>
      </c>
      <c r="R70" s="1"/>
      <c r="S70" s="1"/>
      <c r="T70" s="1"/>
    </row>
    <row r="71" spans="1:20">
      <c r="A71" s="4">
        <v>74</v>
      </c>
      <c r="B71" s="1" t="s">
        <v>162</v>
      </c>
      <c r="C71" s="1" t="s">
        <v>163</v>
      </c>
      <c r="D71" s="1" t="s">
        <v>51</v>
      </c>
      <c r="E71" s="1" t="s">
        <v>77</v>
      </c>
      <c r="F71" s="1" t="s">
        <v>530</v>
      </c>
      <c r="G71" s="1">
        <v>10</v>
      </c>
      <c r="H71" s="1">
        <v>299</v>
      </c>
      <c r="I71" s="10">
        <f t="shared" si="3"/>
        <v>2990</v>
      </c>
      <c r="J71" s="1"/>
      <c r="K71" s="1"/>
      <c r="L71" s="1">
        <f t="shared" si="6"/>
        <v>2990</v>
      </c>
      <c r="M71" s="1"/>
      <c r="N71" s="1"/>
      <c r="O71" s="11">
        <f t="shared" si="5"/>
        <v>2990</v>
      </c>
      <c r="P71" s="40"/>
      <c r="Q71" s="69">
        <v>5</v>
      </c>
      <c r="R71" s="1"/>
      <c r="S71" s="1"/>
      <c r="T71" s="1"/>
    </row>
    <row r="72" spans="1:20">
      <c r="A72" s="4">
        <v>73</v>
      </c>
      <c r="B72" s="1" t="s">
        <v>164</v>
      </c>
      <c r="C72" s="1" t="s">
        <v>165</v>
      </c>
      <c r="D72" s="1" t="s">
        <v>51</v>
      </c>
      <c r="E72" s="1" t="s">
        <v>77</v>
      </c>
      <c r="F72" s="1" t="s">
        <v>530</v>
      </c>
      <c r="G72" s="1">
        <v>20</v>
      </c>
      <c r="H72" s="1">
        <v>299</v>
      </c>
      <c r="I72" s="10">
        <f t="shared" si="3"/>
        <v>5980</v>
      </c>
      <c r="J72" s="1"/>
      <c r="K72" s="1"/>
      <c r="L72" s="1">
        <f t="shared" si="6"/>
        <v>5980</v>
      </c>
      <c r="M72" s="1"/>
      <c r="N72" s="1"/>
      <c r="O72" s="11">
        <f t="shared" si="5"/>
        <v>5980</v>
      </c>
      <c r="P72" s="40"/>
      <c r="Q72" s="69">
        <v>5</v>
      </c>
      <c r="R72" s="1"/>
      <c r="S72" s="1"/>
      <c r="T72" s="1"/>
    </row>
    <row r="73" spans="1:20">
      <c r="A73" s="4">
        <v>77</v>
      </c>
      <c r="B73" s="1" t="s">
        <v>166</v>
      </c>
      <c r="C73" s="1" t="s">
        <v>148</v>
      </c>
      <c r="D73" s="1" t="s">
        <v>116</v>
      </c>
      <c r="E73" s="1" t="s">
        <v>167</v>
      </c>
      <c r="F73" s="1"/>
      <c r="G73" s="1">
        <v>20</v>
      </c>
      <c r="H73" s="1">
        <v>386</v>
      </c>
      <c r="I73" s="10">
        <f t="shared" si="3"/>
        <v>7720</v>
      </c>
      <c r="J73" s="1"/>
      <c r="K73" s="1"/>
      <c r="L73" s="1">
        <f t="shared" si="6"/>
        <v>7720</v>
      </c>
      <c r="M73" s="1"/>
      <c r="N73" s="1"/>
      <c r="O73" s="11">
        <f t="shared" si="5"/>
        <v>7720</v>
      </c>
      <c r="P73" s="40" t="s">
        <v>497</v>
      </c>
      <c r="Q73" s="69" t="s">
        <v>525</v>
      </c>
      <c r="R73" s="1"/>
      <c r="S73" s="1"/>
      <c r="T73" s="1"/>
    </row>
    <row r="74" spans="1:20">
      <c r="A74" s="4">
        <v>76</v>
      </c>
      <c r="B74" s="1" t="s">
        <v>168</v>
      </c>
      <c r="C74" s="1" t="s">
        <v>34</v>
      </c>
      <c r="D74" s="1" t="s">
        <v>169</v>
      </c>
      <c r="E74" s="1" t="s">
        <v>19</v>
      </c>
      <c r="F74" s="1" t="s">
        <v>529</v>
      </c>
      <c r="G74" s="1">
        <v>13</v>
      </c>
      <c r="H74" s="1">
        <v>461</v>
      </c>
      <c r="I74" s="10">
        <f t="shared" si="3"/>
        <v>5993</v>
      </c>
      <c r="J74" s="1"/>
      <c r="K74" s="1"/>
      <c r="L74" s="1">
        <f t="shared" si="6"/>
        <v>5993</v>
      </c>
      <c r="M74" s="1"/>
      <c r="N74" s="1"/>
      <c r="O74" s="11">
        <f t="shared" si="5"/>
        <v>5993</v>
      </c>
      <c r="P74" s="40"/>
      <c r="Q74" s="69" t="s">
        <v>527</v>
      </c>
      <c r="R74" s="1"/>
      <c r="S74" s="1"/>
      <c r="T74" s="1"/>
    </row>
    <row r="75" spans="1:20">
      <c r="A75" s="4">
        <v>78</v>
      </c>
      <c r="B75" s="1" t="s">
        <v>170</v>
      </c>
      <c r="C75" s="1" t="s">
        <v>17</v>
      </c>
      <c r="D75" s="1" t="s">
        <v>31</v>
      </c>
      <c r="E75" s="1" t="s">
        <v>24</v>
      </c>
      <c r="F75" s="1" t="s">
        <v>529</v>
      </c>
      <c r="G75" s="1">
        <v>13</v>
      </c>
      <c r="H75" s="1">
        <v>360</v>
      </c>
      <c r="I75" s="10">
        <f t="shared" si="3"/>
        <v>4680</v>
      </c>
      <c r="J75" s="1"/>
      <c r="K75" s="1"/>
      <c r="L75" s="1">
        <f t="shared" si="6"/>
        <v>4680</v>
      </c>
      <c r="M75" s="1"/>
      <c r="N75" s="1"/>
      <c r="O75" s="11">
        <f t="shared" si="5"/>
        <v>4680</v>
      </c>
      <c r="P75" s="40"/>
      <c r="Q75" s="69">
        <v>5</v>
      </c>
      <c r="R75" s="1"/>
      <c r="S75" s="1"/>
      <c r="T75" s="1"/>
    </row>
    <row r="76" spans="1:20">
      <c r="A76" s="4">
        <v>79</v>
      </c>
      <c r="B76" s="1" t="s">
        <v>171</v>
      </c>
      <c r="C76" s="1" t="s">
        <v>34</v>
      </c>
      <c r="D76" s="1" t="s">
        <v>46</v>
      </c>
      <c r="E76" s="1" t="s">
        <v>9</v>
      </c>
      <c r="F76" s="1" t="s">
        <v>529</v>
      </c>
      <c r="G76" s="1">
        <v>13</v>
      </c>
      <c r="H76" s="1">
        <v>297</v>
      </c>
      <c r="I76" s="10">
        <f t="shared" si="3"/>
        <v>3861</v>
      </c>
      <c r="J76" s="1"/>
      <c r="K76" s="1"/>
      <c r="L76" s="1">
        <f t="shared" si="6"/>
        <v>3861</v>
      </c>
      <c r="M76" s="1"/>
      <c r="N76" s="1"/>
      <c r="O76" s="11">
        <f t="shared" si="5"/>
        <v>3861</v>
      </c>
      <c r="P76" s="40" t="s">
        <v>497</v>
      </c>
      <c r="Q76" s="69" t="s">
        <v>526</v>
      </c>
      <c r="R76" s="1"/>
      <c r="S76" s="1"/>
      <c r="T76" s="1"/>
    </row>
    <row r="77" spans="1:20">
      <c r="A77" s="4">
        <v>80</v>
      </c>
      <c r="B77" s="1" t="s">
        <v>172</v>
      </c>
      <c r="C77" s="1" t="s">
        <v>173</v>
      </c>
      <c r="D77" s="1" t="s">
        <v>174</v>
      </c>
      <c r="E77" s="1" t="s">
        <v>47</v>
      </c>
      <c r="F77" s="1" t="s">
        <v>530</v>
      </c>
      <c r="G77" s="1">
        <v>35</v>
      </c>
      <c r="H77" s="1">
        <v>212</v>
      </c>
      <c r="I77" s="10">
        <f t="shared" si="3"/>
        <v>7420</v>
      </c>
      <c r="J77" s="1"/>
      <c r="K77" s="1"/>
      <c r="L77" s="1">
        <f t="shared" si="6"/>
        <v>7420</v>
      </c>
      <c r="M77" s="1"/>
      <c r="N77" s="1"/>
      <c r="O77" s="11">
        <f t="shared" si="5"/>
        <v>7420</v>
      </c>
      <c r="P77" s="40"/>
      <c r="Q77" s="69">
        <v>3</v>
      </c>
      <c r="R77" s="1"/>
      <c r="S77" s="1"/>
      <c r="T77" s="1"/>
    </row>
    <row r="78" spans="1:20">
      <c r="A78" s="4">
        <v>81</v>
      </c>
      <c r="B78" s="1" t="s">
        <v>175</v>
      </c>
      <c r="C78" s="1" t="s">
        <v>50</v>
      </c>
      <c r="D78" s="1" t="s">
        <v>38</v>
      </c>
      <c r="E78" s="1" t="s">
        <v>150</v>
      </c>
      <c r="F78" s="1"/>
      <c r="G78" s="1">
        <v>20</v>
      </c>
      <c r="H78" s="1">
        <v>376</v>
      </c>
      <c r="I78" s="10">
        <f t="shared" si="3"/>
        <v>7520</v>
      </c>
      <c r="J78" s="1"/>
      <c r="K78" s="1"/>
      <c r="L78" s="1">
        <f t="shared" si="6"/>
        <v>7520</v>
      </c>
      <c r="M78" s="1"/>
      <c r="N78" s="1"/>
      <c r="O78" s="11">
        <f t="shared" si="5"/>
        <v>7520</v>
      </c>
      <c r="P78" s="40"/>
      <c r="Q78" s="69">
        <v>6</v>
      </c>
      <c r="R78" s="1"/>
      <c r="S78" s="1"/>
      <c r="T78" s="1"/>
    </row>
    <row r="79" spans="1:20">
      <c r="A79" s="4">
        <v>82</v>
      </c>
      <c r="B79" s="1" t="s">
        <v>176</v>
      </c>
      <c r="C79" s="1" t="s">
        <v>177</v>
      </c>
      <c r="D79" s="1" t="s">
        <v>178</v>
      </c>
      <c r="E79" s="1" t="s">
        <v>114</v>
      </c>
      <c r="F79" s="1" t="s">
        <v>532</v>
      </c>
      <c r="G79" s="1">
        <v>25</v>
      </c>
      <c r="H79" s="1">
        <v>431</v>
      </c>
      <c r="I79" s="10">
        <f t="shared" si="3"/>
        <v>10775</v>
      </c>
      <c r="J79" s="1"/>
      <c r="K79" s="1"/>
      <c r="L79" s="1">
        <f t="shared" si="6"/>
        <v>10775</v>
      </c>
      <c r="M79" s="1">
        <v>500</v>
      </c>
      <c r="N79" s="1">
        <v>100</v>
      </c>
      <c r="O79" s="11">
        <f t="shared" si="5"/>
        <v>10175</v>
      </c>
      <c r="P79" s="40" t="s">
        <v>497</v>
      </c>
      <c r="Q79" s="69" t="s">
        <v>526</v>
      </c>
      <c r="R79" s="1"/>
      <c r="S79" s="1"/>
      <c r="T79" s="1"/>
    </row>
    <row r="80" spans="1:20">
      <c r="A80" s="4">
        <v>83</v>
      </c>
      <c r="B80" s="1" t="s">
        <v>179</v>
      </c>
      <c r="C80" s="1" t="s">
        <v>180</v>
      </c>
      <c r="D80" s="1" t="s">
        <v>181</v>
      </c>
      <c r="E80" s="1" t="s">
        <v>160</v>
      </c>
      <c r="F80" s="1" t="s">
        <v>533</v>
      </c>
      <c r="G80" s="1">
        <v>20</v>
      </c>
      <c r="H80" s="1">
        <v>340</v>
      </c>
      <c r="I80" s="10">
        <f t="shared" si="3"/>
        <v>6800</v>
      </c>
      <c r="J80" s="1"/>
      <c r="K80" s="1">
        <v>5000</v>
      </c>
      <c r="L80" s="1">
        <f t="shared" si="6"/>
        <v>1800</v>
      </c>
      <c r="M80" s="1">
        <v>400</v>
      </c>
      <c r="N80" s="1">
        <v>100</v>
      </c>
      <c r="O80" s="11">
        <f t="shared" si="5"/>
        <v>1300</v>
      </c>
      <c r="P80" s="40"/>
      <c r="Q80" s="69" t="s">
        <v>522</v>
      </c>
      <c r="R80" s="1"/>
      <c r="S80" s="1"/>
      <c r="T80" s="1"/>
    </row>
    <row r="81" spans="1:20">
      <c r="A81" s="4">
        <v>84</v>
      </c>
      <c r="B81" s="1" t="s">
        <v>182</v>
      </c>
      <c r="C81" s="1" t="s">
        <v>34</v>
      </c>
      <c r="D81" s="1" t="s">
        <v>79</v>
      </c>
      <c r="E81" s="1" t="s">
        <v>9</v>
      </c>
      <c r="F81" s="1" t="s">
        <v>529</v>
      </c>
      <c r="G81" s="1">
        <v>13</v>
      </c>
      <c r="H81" s="1">
        <v>259</v>
      </c>
      <c r="I81" s="10">
        <f t="shared" si="3"/>
        <v>3367</v>
      </c>
      <c r="J81" s="1"/>
      <c r="K81" s="1"/>
      <c r="L81" s="1">
        <f t="shared" si="6"/>
        <v>3367</v>
      </c>
      <c r="M81" s="1"/>
      <c r="N81" s="1"/>
      <c r="O81" s="11">
        <f t="shared" si="5"/>
        <v>3367</v>
      </c>
      <c r="P81" s="40" t="s">
        <v>497</v>
      </c>
      <c r="Q81" s="69" t="s">
        <v>526</v>
      </c>
      <c r="R81" s="1"/>
      <c r="S81" s="1"/>
      <c r="T81" s="1"/>
    </row>
    <row r="82" spans="1:20">
      <c r="A82" s="4">
        <v>85</v>
      </c>
      <c r="B82" s="1" t="s">
        <v>183</v>
      </c>
      <c r="C82" s="1" t="s">
        <v>184</v>
      </c>
      <c r="D82" s="1" t="s">
        <v>185</v>
      </c>
      <c r="E82" s="1" t="s">
        <v>47</v>
      </c>
      <c r="F82" s="1" t="s">
        <v>530</v>
      </c>
      <c r="G82" s="1">
        <v>35</v>
      </c>
      <c r="H82" s="1">
        <v>422</v>
      </c>
      <c r="I82" s="10">
        <f t="shared" si="3"/>
        <v>14770</v>
      </c>
      <c r="J82" s="1"/>
      <c r="K82" s="1"/>
      <c r="L82" s="1">
        <f t="shared" si="6"/>
        <v>14770</v>
      </c>
      <c r="M82" s="1"/>
      <c r="N82" s="1"/>
      <c r="O82" s="11">
        <f t="shared" si="5"/>
        <v>14770</v>
      </c>
      <c r="P82" s="40"/>
      <c r="Q82" s="69">
        <v>3</v>
      </c>
      <c r="R82" s="1"/>
      <c r="S82" s="1"/>
      <c r="T82" s="1"/>
    </row>
    <row r="83" spans="1:20">
      <c r="A83" s="4">
        <v>86</v>
      </c>
      <c r="B83" s="1" t="s">
        <v>186</v>
      </c>
      <c r="C83" s="1" t="s">
        <v>177</v>
      </c>
      <c r="D83" s="1" t="s">
        <v>178</v>
      </c>
      <c r="E83" s="1" t="s">
        <v>156</v>
      </c>
      <c r="F83" s="1"/>
      <c r="G83" s="1">
        <v>25</v>
      </c>
      <c r="H83" s="1">
        <v>431</v>
      </c>
      <c r="I83" s="10">
        <f t="shared" si="3"/>
        <v>10775</v>
      </c>
      <c r="J83" s="1"/>
      <c r="K83" s="1"/>
      <c r="L83" s="1">
        <f t="shared" si="6"/>
        <v>10775</v>
      </c>
      <c r="M83" s="1"/>
      <c r="N83" s="1"/>
      <c r="O83" s="11">
        <f t="shared" si="5"/>
        <v>10775</v>
      </c>
      <c r="P83" s="40" t="s">
        <v>497</v>
      </c>
      <c r="Q83" s="69"/>
      <c r="R83" s="1"/>
      <c r="S83" s="1"/>
      <c r="T83" s="1"/>
    </row>
    <row r="84" spans="1:20">
      <c r="A84" s="4">
        <v>88</v>
      </c>
      <c r="B84" s="1" t="s">
        <v>187</v>
      </c>
      <c r="C84" s="1" t="s">
        <v>34</v>
      </c>
      <c r="D84" s="1" t="s">
        <v>46</v>
      </c>
      <c r="E84" s="1" t="s">
        <v>9</v>
      </c>
      <c r="F84" s="1" t="s">
        <v>529</v>
      </c>
      <c r="G84" s="1">
        <v>13</v>
      </c>
      <c r="H84" s="1">
        <v>297</v>
      </c>
      <c r="I84" s="10">
        <f t="shared" si="3"/>
        <v>3861</v>
      </c>
      <c r="J84" s="1"/>
      <c r="K84" s="1"/>
      <c r="L84" s="1">
        <f t="shared" si="6"/>
        <v>3861</v>
      </c>
      <c r="M84" s="1"/>
      <c r="N84" s="1"/>
      <c r="O84" s="11">
        <f t="shared" si="5"/>
        <v>3861</v>
      </c>
      <c r="P84" s="40" t="s">
        <v>497</v>
      </c>
      <c r="Q84" s="69" t="s">
        <v>527</v>
      </c>
      <c r="R84" s="1"/>
      <c r="S84" s="1"/>
      <c r="T84" s="1"/>
    </row>
    <row r="85" spans="1:20">
      <c r="A85" s="4">
        <v>87</v>
      </c>
      <c r="B85" s="1" t="s">
        <v>188</v>
      </c>
      <c r="C85" s="1" t="s">
        <v>34</v>
      </c>
      <c r="D85" s="1" t="s">
        <v>46</v>
      </c>
      <c r="E85" s="1" t="s">
        <v>24</v>
      </c>
      <c r="F85" s="1" t="s">
        <v>529</v>
      </c>
      <c r="G85" s="1">
        <v>13</v>
      </c>
      <c r="H85" s="1">
        <v>297</v>
      </c>
      <c r="I85" s="10">
        <f t="shared" si="3"/>
        <v>3861</v>
      </c>
      <c r="J85" s="1"/>
      <c r="K85" s="1"/>
      <c r="L85" s="1">
        <f t="shared" si="6"/>
        <v>3861</v>
      </c>
      <c r="M85" s="1"/>
      <c r="N85" s="1"/>
      <c r="O85" s="11">
        <f t="shared" si="5"/>
        <v>3861</v>
      </c>
      <c r="P85" s="40" t="s">
        <v>497</v>
      </c>
      <c r="Q85" s="69" t="s">
        <v>526</v>
      </c>
      <c r="R85" s="1"/>
      <c r="S85" s="1"/>
      <c r="T85" s="1"/>
    </row>
    <row r="86" spans="1:20">
      <c r="A86" s="4">
        <v>89</v>
      </c>
      <c r="B86" s="1" t="s">
        <v>189</v>
      </c>
      <c r="C86" s="1" t="s">
        <v>190</v>
      </c>
      <c r="D86" s="1" t="s">
        <v>191</v>
      </c>
      <c r="E86" s="1" t="s">
        <v>192</v>
      </c>
      <c r="F86" s="1"/>
      <c r="G86" s="1">
        <v>25</v>
      </c>
      <c r="H86" s="1">
        <v>323</v>
      </c>
      <c r="I86" s="10">
        <f t="shared" si="3"/>
        <v>8075</v>
      </c>
      <c r="J86" s="1"/>
      <c r="K86" s="1"/>
      <c r="L86" s="1">
        <f t="shared" si="6"/>
        <v>8075</v>
      </c>
      <c r="M86" s="1"/>
      <c r="N86" s="1"/>
      <c r="O86" s="11">
        <f t="shared" si="5"/>
        <v>8075</v>
      </c>
      <c r="P86" s="40"/>
      <c r="Q86" s="69" t="s">
        <v>527</v>
      </c>
      <c r="R86" s="1"/>
      <c r="S86" s="1"/>
      <c r="T86" s="1"/>
    </row>
    <row r="87" spans="1:20">
      <c r="A87" s="4">
        <v>90</v>
      </c>
      <c r="B87" s="1" t="s">
        <v>193</v>
      </c>
      <c r="C87" s="1" t="s">
        <v>194</v>
      </c>
      <c r="D87" s="1" t="s">
        <v>195</v>
      </c>
      <c r="E87" s="1" t="s">
        <v>77</v>
      </c>
      <c r="F87" s="1" t="s">
        <v>530</v>
      </c>
      <c r="G87" s="1">
        <v>15</v>
      </c>
      <c r="H87" s="1">
        <v>447</v>
      </c>
      <c r="I87" s="10">
        <f t="shared" si="3"/>
        <v>6705</v>
      </c>
      <c r="J87" s="1"/>
      <c r="K87" s="1"/>
      <c r="L87" s="1">
        <f t="shared" si="6"/>
        <v>6705</v>
      </c>
      <c r="M87" s="1"/>
      <c r="N87" s="1"/>
      <c r="O87" s="11">
        <f t="shared" si="5"/>
        <v>6705</v>
      </c>
      <c r="P87" s="40"/>
      <c r="Q87" s="69" t="s">
        <v>527</v>
      </c>
      <c r="R87" s="1"/>
      <c r="S87" s="1"/>
      <c r="T87" s="1"/>
    </row>
    <row r="88" spans="1:20">
      <c r="A88" s="4">
        <v>91</v>
      </c>
      <c r="B88" s="1" t="s">
        <v>196</v>
      </c>
      <c r="C88" s="1" t="s">
        <v>194</v>
      </c>
      <c r="D88" s="1" t="s">
        <v>197</v>
      </c>
      <c r="E88" s="1" t="s">
        <v>77</v>
      </c>
      <c r="F88" s="1" t="s">
        <v>530</v>
      </c>
      <c r="G88" s="1">
        <v>15</v>
      </c>
      <c r="H88" s="1">
        <v>494</v>
      </c>
      <c r="I88" s="10">
        <f t="shared" si="3"/>
        <v>7410</v>
      </c>
      <c r="J88" s="1"/>
      <c r="K88" s="1"/>
      <c r="L88" s="1">
        <f t="shared" si="6"/>
        <v>7410</v>
      </c>
      <c r="M88" s="1"/>
      <c r="N88" s="1"/>
      <c r="O88" s="11">
        <f t="shared" si="5"/>
        <v>7410</v>
      </c>
      <c r="P88" s="40"/>
      <c r="Q88" s="69" t="s">
        <v>527</v>
      </c>
      <c r="R88" s="1"/>
      <c r="S88" s="1"/>
      <c r="T88" s="1"/>
    </row>
    <row r="89" spans="1:20">
      <c r="A89" s="4">
        <v>92</v>
      </c>
      <c r="B89" s="1" t="s">
        <v>198</v>
      </c>
      <c r="C89" s="1" t="s">
        <v>199</v>
      </c>
      <c r="D89" s="1" t="s">
        <v>51</v>
      </c>
      <c r="E89" s="1" t="s">
        <v>200</v>
      </c>
      <c r="F89" s="1"/>
      <c r="G89" s="1">
        <v>10</v>
      </c>
      <c r="H89" s="1">
        <v>333</v>
      </c>
      <c r="I89" s="10">
        <f t="shared" si="3"/>
        <v>3330</v>
      </c>
      <c r="J89" s="1"/>
      <c r="K89" s="1"/>
      <c r="L89" s="1">
        <f t="shared" si="6"/>
        <v>3330</v>
      </c>
      <c r="M89" s="1"/>
      <c r="N89" s="1"/>
      <c r="O89" s="11">
        <f t="shared" si="5"/>
        <v>3330</v>
      </c>
      <c r="P89" s="40"/>
      <c r="Q89" s="69" t="s">
        <v>527</v>
      </c>
      <c r="R89" s="1"/>
      <c r="S89" s="1"/>
      <c r="T89" s="1"/>
    </row>
    <row r="90" spans="1:20">
      <c r="A90" s="4">
        <v>93</v>
      </c>
      <c r="B90" s="1" t="s">
        <v>201</v>
      </c>
      <c r="C90" s="1" t="s">
        <v>199</v>
      </c>
      <c r="D90" s="1" t="s">
        <v>51</v>
      </c>
      <c r="E90" s="1" t="s">
        <v>200</v>
      </c>
      <c r="F90" s="1"/>
      <c r="G90" s="1">
        <v>10</v>
      </c>
      <c r="H90" s="1">
        <v>333</v>
      </c>
      <c r="I90" s="10">
        <f t="shared" si="3"/>
        <v>3330</v>
      </c>
      <c r="J90" s="1"/>
      <c r="K90" s="1"/>
      <c r="L90" s="1">
        <f t="shared" si="6"/>
        <v>3330</v>
      </c>
      <c r="M90" s="1"/>
      <c r="N90" s="1"/>
      <c r="O90" s="11">
        <f t="shared" si="5"/>
        <v>3330</v>
      </c>
      <c r="P90" s="40"/>
      <c r="Q90" s="69" t="s">
        <v>527</v>
      </c>
      <c r="R90" s="1"/>
      <c r="S90" s="1"/>
      <c r="T90" s="1"/>
    </row>
    <row r="91" spans="1:20">
      <c r="A91" s="4">
        <v>95</v>
      </c>
      <c r="B91" s="1" t="s">
        <v>202</v>
      </c>
      <c r="C91" s="1" t="s">
        <v>56</v>
      </c>
      <c r="D91" s="1" t="s">
        <v>203</v>
      </c>
      <c r="E91" s="1" t="s">
        <v>150</v>
      </c>
      <c r="F91" s="1"/>
      <c r="G91" s="1">
        <v>20</v>
      </c>
      <c r="H91" s="1">
        <v>439</v>
      </c>
      <c r="I91" s="10">
        <f t="shared" si="3"/>
        <v>8780</v>
      </c>
      <c r="J91" s="1"/>
      <c r="K91" s="1"/>
      <c r="L91" s="1">
        <f t="shared" si="6"/>
        <v>8780</v>
      </c>
      <c r="M91" s="1"/>
      <c r="N91" s="1"/>
      <c r="O91" s="11">
        <f t="shared" si="5"/>
        <v>8780</v>
      </c>
      <c r="P91" s="40"/>
      <c r="Q91" s="69">
        <v>5</v>
      </c>
      <c r="R91" s="1"/>
      <c r="S91" s="1"/>
      <c r="T91" s="1"/>
    </row>
    <row r="92" spans="1:20">
      <c r="A92" s="4">
        <v>94</v>
      </c>
      <c r="B92" s="1" t="s">
        <v>204</v>
      </c>
      <c r="C92" s="1" t="s">
        <v>180</v>
      </c>
      <c r="D92" s="1" t="s">
        <v>205</v>
      </c>
      <c r="E92" s="1" t="s">
        <v>167</v>
      </c>
      <c r="F92" s="1"/>
      <c r="G92" s="1">
        <v>20</v>
      </c>
      <c r="H92" s="1">
        <v>419</v>
      </c>
      <c r="I92" s="10">
        <f t="shared" si="3"/>
        <v>8380</v>
      </c>
      <c r="J92" s="1"/>
      <c r="K92" s="1"/>
      <c r="L92" s="1">
        <f t="shared" si="6"/>
        <v>8380</v>
      </c>
      <c r="M92" s="1"/>
      <c r="N92" s="1"/>
      <c r="O92" s="11">
        <f t="shared" si="5"/>
        <v>8380</v>
      </c>
      <c r="P92" s="40"/>
      <c r="Q92" s="69" t="s">
        <v>527</v>
      </c>
      <c r="R92" s="1"/>
      <c r="S92" s="1"/>
      <c r="T92" s="1"/>
    </row>
    <row r="93" spans="1:20">
      <c r="A93" s="4">
        <v>97</v>
      </c>
      <c r="B93" s="1" t="s">
        <v>206</v>
      </c>
      <c r="C93" s="1" t="s">
        <v>207</v>
      </c>
      <c r="D93" s="1" t="s">
        <v>208</v>
      </c>
      <c r="E93" s="1" t="s">
        <v>43</v>
      </c>
      <c r="F93" s="1" t="s">
        <v>530</v>
      </c>
      <c r="G93" s="1">
        <v>10</v>
      </c>
      <c r="H93" s="1">
        <v>459</v>
      </c>
      <c r="I93" s="10">
        <f t="shared" si="3"/>
        <v>4590</v>
      </c>
      <c r="J93" s="1"/>
      <c r="K93" s="1"/>
      <c r="L93" s="1">
        <f t="shared" si="6"/>
        <v>4590</v>
      </c>
      <c r="M93" s="1"/>
      <c r="N93" s="1"/>
      <c r="O93" s="11">
        <f t="shared" si="5"/>
        <v>4590</v>
      </c>
      <c r="P93" s="40"/>
      <c r="Q93" s="69">
        <v>5</v>
      </c>
      <c r="R93" s="1"/>
      <c r="S93" s="1"/>
      <c r="T93" s="1"/>
    </row>
    <row r="94" spans="1:20">
      <c r="A94" s="4">
        <v>98</v>
      </c>
      <c r="B94" s="1" t="s">
        <v>209</v>
      </c>
      <c r="C94" s="1" t="s">
        <v>207</v>
      </c>
      <c r="D94" s="1" t="s">
        <v>208</v>
      </c>
      <c r="E94" s="1" t="s">
        <v>43</v>
      </c>
      <c r="F94" s="1" t="s">
        <v>530</v>
      </c>
      <c r="G94" s="1">
        <v>10</v>
      </c>
      <c r="H94" s="1">
        <v>459</v>
      </c>
      <c r="I94" s="10">
        <f t="shared" si="3"/>
        <v>4590</v>
      </c>
      <c r="J94" s="1"/>
      <c r="K94" s="1"/>
      <c r="L94" s="1">
        <f t="shared" si="6"/>
        <v>4590</v>
      </c>
      <c r="M94" s="1"/>
      <c r="N94" s="1"/>
      <c r="O94" s="11">
        <f t="shared" si="5"/>
        <v>4590</v>
      </c>
      <c r="P94" s="40"/>
      <c r="Q94" s="69">
        <v>5</v>
      </c>
      <c r="R94" s="1"/>
      <c r="S94" s="1"/>
      <c r="T94" s="1"/>
    </row>
    <row r="95" spans="1:20">
      <c r="A95" s="4">
        <v>99</v>
      </c>
      <c r="B95" s="1" t="s">
        <v>210</v>
      </c>
      <c r="C95" s="1" t="s">
        <v>207</v>
      </c>
      <c r="D95" s="1" t="s">
        <v>208</v>
      </c>
      <c r="E95" s="1" t="s">
        <v>43</v>
      </c>
      <c r="F95" s="1" t="s">
        <v>530</v>
      </c>
      <c r="G95" s="1">
        <v>10</v>
      </c>
      <c r="H95" s="1">
        <v>459</v>
      </c>
      <c r="I95" s="10">
        <f t="shared" si="3"/>
        <v>4590</v>
      </c>
      <c r="J95" s="1"/>
      <c r="K95" s="1"/>
      <c r="L95" s="1">
        <f t="shared" si="6"/>
        <v>4590</v>
      </c>
      <c r="M95" s="1"/>
      <c r="N95" s="1"/>
      <c r="O95" s="11">
        <f t="shared" si="5"/>
        <v>4590</v>
      </c>
      <c r="P95" s="40"/>
      <c r="Q95" s="69">
        <v>5</v>
      </c>
      <c r="R95" s="1"/>
      <c r="S95" s="1"/>
      <c r="T95" s="1"/>
    </row>
    <row r="96" spans="1:20">
      <c r="A96" s="4">
        <v>96</v>
      </c>
      <c r="B96" s="1" t="s">
        <v>211</v>
      </c>
      <c r="C96" s="1" t="s">
        <v>22</v>
      </c>
      <c r="D96" s="1" t="s">
        <v>23</v>
      </c>
      <c r="E96" s="1" t="s">
        <v>9</v>
      </c>
      <c r="F96" s="1" t="s">
        <v>529</v>
      </c>
      <c r="G96" s="1">
        <v>13</v>
      </c>
      <c r="H96" s="1">
        <v>449</v>
      </c>
      <c r="I96" s="10">
        <f t="shared" si="3"/>
        <v>5837</v>
      </c>
      <c r="J96" s="1"/>
      <c r="K96" s="1"/>
      <c r="L96" s="1">
        <f t="shared" si="6"/>
        <v>5837</v>
      </c>
      <c r="M96" s="1"/>
      <c r="N96" s="1"/>
      <c r="O96" s="11">
        <f t="shared" si="5"/>
        <v>5837</v>
      </c>
      <c r="P96" s="40"/>
      <c r="Q96" s="69">
        <v>6</v>
      </c>
      <c r="R96" s="1"/>
      <c r="S96" s="1"/>
      <c r="T96" s="1"/>
    </row>
    <row r="97" spans="1:20">
      <c r="A97" s="4">
        <v>100</v>
      </c>
      <c r="B97" s="1" t="s">
        <v>212</v>
      </c>
      <c r="C97" s="1" t="s">
        <v>180</v>
      </c>
      <c r="D97" s="1" t="s">
        <v>213</v>
      </c>
      <c r="E97" s="1" t="s">
        <v>14</v>
      </c>
      <c r="F97" s="1" t="s">
        <v>529</v>
      </c>
      <c r="G97" s="1">
        <v>20</v>
      </c>
      <c r="H97" s="1">
        <v>497</v>
      </c>
      <c r="I97" s="10">
        <f t="shared" si="3"/>
        <v>9940</v>
      </c>
      <c r="J97" s="1"/>
      <c r="K97" s="1"/>
      <c r="L97" s="1">
        <f t="shared" si="6"/>
        <v>9940</v>
      </c>
      <c r="M97" s="1"/>
      <c r="N97" s="1"/>
      <c r="O97" s="11">
        <f t="shared" si="5"/>
        <v>9940</v>
      </c>
      <c r="P97" s="40"/>
      <c r="Q97" s="69" t="s">
        <v>527</v>
      </c>
      <c r="R97" s="1"/>
      <c r="S97" s="1"/>
      <c r="T97" s="1"/>
    </row>
    <row r="98" spans="1:20">
      <c r="A98" s="4">
        <v>101</v>
      </c>
      <c r="B98" s="1" t="s">
        <v>214</v>
      </c>
      <c r="C98" s="1" t="s">
        <v>7</v>
      </c>
      <c r="D98" s="1" t="s">
        <v>215</v>
      </c>
      <c r="E98" s="1" t="s">
        <v>19</v>
      </c>
      <c r="F98" s="1" t="s">
        <v>529</v>
      </c>
      <c r="G98" s="1">
        <v>13</v>
      </c>
      <c r="H98" s="1">
        <v>418</v>
      </c>
      <c r="I98" s="10">
        <f t="shared" si="3"/>
        <v>5434</v>
      </c>
      <c r="J98" s="1"/>
      <c r="K98" s="1"/>
      <c r="L98" s="1">
        <f t="shared" si="6"/>
        <v>5434</v>
      </c>
      <c r="M98" s="1"/>
      <c r="N98" s="1"/>
      <c r="O98" s="11">
        <f t="shared" si="5"/>
        <v>5434</v>
      </c>
      <c r="P98" s="40" t="s">
        <v>497</v>
      </c>
      <c r="Q98" s="69"/>
      <c r="R98" s="1"/>
      <c r="S98" s="1"/>
      <c r="T98" s="1"/>
    </row>
    <row r="99" spans="1:20">
      <c r="A99" s="4">
        <v>102</v>
      </c>
      <c r="B99" s="1" t="s">
        <v>216</v>
      </c>
      <c r="C99" s="1" t="s">
        <v>34</v>
      </c>
      <c r="D99" s="1" t="s">
        <v>27</v>
      </c>
      <c r="E99" s="1" t="s">
        <v>24</v>
      </c>
      <c r="F99" s="1" t="s">
        <v>529</v>
      </c>
      <c r="G99" s="1">
        <v>13</v>
      </c>
      <c r="H99" s="1">
        <v>223</v>
      </c>
      <c r="I99" s="10">
        <f t="shared" si="3"/>
        <v>2899</v>
      </c>
      <c r="J99" s="1"/>
      <c r="K99" s="1"/>
      <c r="L99" s="1">
        <f t="shared" si="6"/>
        <v>2899</v>
      </c>
      <c r="M99" s="1"/>
      <c r="N99" s="1"/>
      <c r="O99" s="11">
        <f t="shared" si="5"/>
        <v>2899</v>
      </c>
      <c r="P99" s="40"/>
      <c r="Q99" s="69">
        <v>5</v>
      </c>
      <c r="R99" s="1"/>
      <c r="S99" s="1"/>
      <c r="T99" s="1"/>
    </row>
    <row r="100" spans="1:20">
      <c r="A100" s="4">
        <v>103</v>
      </c>
      <c r="B100" s="1" t="s">
        <v>217</v>
      </c>
      <c r="C100" s="1" t="s">
        <v>34</v>
      </c>
      <c r="D100" s="1" t="s">
        <v>27</v>
      </c>
      <c r="E100" s="1" t="s">
        <v>19</v>
      </c>
      <c r="F100" s="1" t="s">
        <v>529</v>
      </c>
      <c r="G100" s="1">
        <v>13</v>
      </c>
      <c r="H100" s="1">
        <v>223</v>
      </c>
      <c r="I100" s="10">
        <f t="shared" si="3"/>
        <v>2899</v>
      </c>
      <c r="J100" s="1"/>
      <c r="K100" s="1"/>
      <c r="L100" s="1">
        <f t="shared" si="6"/>
        <v>2899</v>
      </c>
      <c r="M100" s="1"/>
      <c r="N100" s="1"/>
      <c r="O100" s="11">
        <f t="shared" si="5"/>
        <v>2899</v>
      </c>
      <c r="P100" s="40"/>
      <c r="Q100" s="69">
        <v>5</v>
      </c>
      <c r="R100" s="1"/>
      <c r="S100" s="1"/>
      <c r="T100" s="1"/>
    </row>
    <row r="101" spans="1:20">
      <c r="A101" s="4">
        <v>104</v>
      </c>
      <c r="B101" s="1" t="s">
        <v>218</v>
      </c>
      <c r="C101" s="1" t="s">
        <v>34</v>
      </c>
      <c r="D101" s="1" t="s">
        <v>81</v>
      </c>
      <c r="E101" s="1" t="s">
        <v>156</v>
      </c>
      <c r="F101" s="1"/>
      <c r="G101" s="1">
        <v>20</v>
      </c>
      <c r="H101" s="1">
        <v>218</v>
      </c>
      <c r="I101" s="10">
        <f t="shared" si="3"/>
        <v>4360</v>
      </c>
      <c r="J101" s="1"/>
      <c r="K101" s="1"/>
      <c r="L101" s="1">
        <f t="shared" si="6"/>
        <v>4360</v>
      </c>
      <c r="M101" s="1"/>
      <c r="N101" s="1"/>
      <c r="O101" s="11">
        <f t="shared" si="5"/>
        <v>4360</v>
      </c>
      <c r="P101" s="40" t="s">
        <v>497</v>
      </c>
      <c r="Q101" s="69" t="s">
        <v>524</v>
      </c>
      <c r="R101" s="1"/>
      <c r="S101" s="1"/>
      <c r="T101" s="1"/>
    </row>
    <row r="102" spans="1:20">
      <c r="A102" s="4">
        <v>105</v>
      </c>
      <c r="B102" s="1" t="s">
        <v>219</v>
      </c>
      <c r="C102" s="1" t="s">
        <v>220</v>
      </c>
      <c r="D102" s="1" t="s">
        <v>51</v>
      </c>
      <c r="E102" s="1" t="s">
        <v>114</v>
      </c>
      <c r="F102" s="1" t="s">
        <v>532</v>
      </c>
      <c r="G102" s="1">
        <v>10</v>
      </c>
      <c r="H102" s="1">
        <v>333</v>
      </c>
      <c r="I102" s="10">
        <f t="shared" si="3"/>
        <v>3330</v>
      </c>
      <c r="J102" s="1"/>
      <c r="K102" s="1">
        <v>5000</v>
      </c>
      <c r="L102" s="1">
        <f t="shared" si="6"/>
        <v>-1670</v>
      </c>
      <c r="M102" s="1">
        <v>400</v>
      </c>
      <c r="N102" s="1">
        <v>100</v>
      </c>
      <c r="O102" s="11">
        <f t="shared" si="5"/>
        <v>-2170</v>
      </c>
      <c r="P102" s="40"/>
      <c r="Q102" s="69">
        <v>5</v>
      </c>
      <c r="R102" s="1"/>
      <c r="S102" s="1"/>
      <c r="T102" s="1"/>
    </row>
    <row r="103" spans="1:20">
      <c r="A103" s="4">
        <v>106</v>
      </c>
      <c r="B103" s="1" t="s">
        <v>221</v>
      </c>
      <c r="C103" s="1" t="s">
        <v>220</v>
      </c>
      <c r="D103" s="1" t="s">
        <v>51</v>
      </c>
      <c r="E103" s="1" t="s">
        <v>114</v>
      </c>
      <c r="F103" s="1" t="s">
        <v>532</v>
      </c>
      <c r="G103" s="1">
        <v>10</v>
      </c>
      <c r="H103" s="1">
        <v>333</v>
      </c>
      <c r="I103" s="10">
        <f t="shared" si="3"/>
        <v>3330</v>
      </c>
      <c r="J103" s="1"/>
      <c r="K103" s="1"/>
      <c r="L103" s="1">
        <f t="shared" si="6"/>
        <v>3330</v>
      </c>
      <c r="M103" s="1"/>
      <c r="N103" s="1"/>
      <c r="O103" s="11">
        <f t="shared" si="5"/>
        <v>3330</v>
      </c>
      <c r="P103" s="40"/>
      <c r="Q103" s="69">
        <v>5</v>
      </c>
      <c r="R103" s="1"/>
      <c r="S103" s="1"/>
      <c r="T103" s="1"/>
    </row>
    <row r="104" spans="1:20">
      <c r="A104" s="4">
        <v>107</v>
      </c>
      <c r="B104" s="1" t="s">
        <v>222</v>
      </c>
      <c r="C104" s="1" t="s">
        <v>148</v>
      </c>
      <c r="D104" s="1" t="s">
        <v>223</v>
      </c>
      <c r="E104" s="1" t="s">
        <v>224</v>
      </c>
      <c r="F104" s="1"/>
      <c r="G104" s="1">
        <v>25</v>
      </c>
      <c r="H104" s="1">
        <v>342</v>
      </c>
      <c r="I104" s="10">
        <f t="shared" si="3"/>
        <v>8550</v>
      </c>
      <c r="J104" s="1"/>
      <c r="K104" s="1"/>
      <c r="L104" s="1">
        <f t="shared" si="6"/>
        <v>8550</v>
      </c>
      <c r="M104" s="1"/>
      <c r="N104" s="1"/>
      <c r="O104" s="11">
        <f t="shared" si="5"/>
        <v>8550</v>
      </c>
      <c r="P104" s="40"/>
      <c r="Q104" s="69" t="s">
        <v>525</v>
      </c>
      <c r="R104" s="1"/>
      <c r="S104" s="1"/>
      <c r="T104" s="1"/>
    </row>
    <row r="105" spans="1:20">
      <c r="A105" s="4">
        <v>108</v>
      </c>
      <c r="B105" s="1" t="s">
        <v>225</v>
      </c>
      <c r="C105" s="1" t="s">
        <v>112</v>
      </c>
      <c r="D105" s="1" t="s">
        <v>116</v>
      </c>
      <c r="E105" s="1" t="s">
        <v>226</v>
      </c>
      <c r="F105" s="1"/>
      <c r="G105" s="1">
        <v>25</v>
      </c>
      <c r="H105" s="1">
        <v>333</v>
      </c>
      <c r="I105" s="10">
        <f t="shared" si="3"/>
        <v>8325</v>
      </c>
      <c r="J105" s="1"/>
      <c r="K105" s="1"/>
      <c r="L105" s="1">
        <f t="shared" si="6"/>
        <v>8325</v>
      </c>
      <c r="M105" s="1"/>
      <c r="N105" s="1"/>
      <c r="O105" s="11">
        <f t="shared" si="5"/>
        <v>8325</v>
      </c>
      <c r="P105" s="40"/>
      <c r="Q105" s="69" t="s">
        <v>525</v>
      </c>
      <c r="R105" s="1"/>
      <c r="S105" s="1"/>
      <c r="T105" s="1"/>
    </row>
    <row r="106" spans="1:20">
      <c r="A106" s="4">
        <v>109</v>
      </c>
      <c r="B106" s="1" t="s">
        <v>227</v>
      </c>
      <c r="C106" s="1" t="s">
        <v>180</v>
      </c>
      <c r="D106" s="1" t="s">
        <v>228</v>
      </c>
      <c r="E106" s="1" t="s">
        <v>167</v>
      </c>
      <c r="F106" s="1"/>
      <c r="G106" s="1">
        <v>20</v>
      </c>
      <c r="H106" s="1">
        <v>506</v>
      </c>
      <c r="I106" s="10">
        <f t="shared" si="3"/>
        <v>10120</v>
      </c>
      <c r="J106" s="1"/>
      <c r="K106" s="1"/>
      <c r="L106" s="1">
        <f t="shared" si="6"/>
        <v>10120</v>
      </c>
      <c r="M106" s="1"/>
      <c r="N106" s="1"/>
      <c r="O106" s="11">
        <f t="shared" si="5"/>
        <v>10120</v>
      </c>
      <c r="P106" s="40" t="s">
        <v>497</v>
      </c>
      <c r="Q106" s="69"/>
      <c r="R106" s="1"/>
      <c r="S106" s="1"/>
      <c r="T106" s="1"/>
    </row>
    <row r="107" spans="1:20">
      <c r="A107" s="4">
        <v>110</v>
      </c>
      <c r="B107" s="1" t="s">
        <v>229</v>
      </c>
      <c r="C107" s="1" t="s">
        <v>148</v>
      </c>
      <c r="D107" s="1" t="s">
        <v>230</v>
      </c>
      <c r="E107" s="1" t="s">
        <v>150</v>
      </c>
      <c r="F107" s="1"/>
      <c r="G107" s="1">
        <v>20</v>
      </c>
      <c r="H107" s="1">
        <v>365</v>
      </c>
      <c r="I107" s="10">
        <f t="shared" si="3"/>
        <v>7300</v>
      </c>
      <c r="J107" s="1"/>
      <c r="K107" s="1"/>
      <c r="L107" s="1">
        <f t="shared" si="6"/>
        <v>7300</v>
      </c>
      <c r="M107" s="1"/>
      <c r="N107" s="1"/>
      <c r="O107" s="11">
        <f t="shared" si="5"/>
        <v>7300</v>
      </c>
      <c r="P107" s="40"/>
      <c r="Q107" s="69" t="s">
        <v>527</v>
      </c>
      <c r="R107" s="1"/>
      <c r="S107" s="1"/>
      <c r="T107" s="1"/>
    </row>
    <row r="108" spans="1:20">
      <c r="A108" s="4">
        <v>111</v>
      </c>
      <c r="B108" s="1" t="s">
        <v>231</v>
      </c>
      <c r="C108" s="1" t="s">
        <v>34</v>
      </c>
      <c r="D108" s="1" t="s">
        <v>8</v>
      </c>
      <c r="E108" s="1" t="s">
        <v>160</v>
      </c>
      <c r="F108" s="1" t="s">
        <v>533</v>
      </c>
      <c r="G108" s="1">
        <v>13</v>
      </c>
      <c r="H108" s="1">
        <v>297</v>
      </c>
      <c r="I108" s="10">
        <f t="shared" si="3"/>
        <v>3861</v>
      </c>
      <c r="J108" s="1"/>
      <c r="K108" s="1"/>
      <c r="L108" s="1">
        <f t="shared" si="6"/>
        <v>3861</v>
      </c>
      <c r="M108" s="1">
        <v>500</v>
      </c>
      <c r="N108" s="1">
        <v>100</v>
      </c>
      <c r="O108" s="11">
        <f t="shared" si="5"/>
        <v>3261</v>
      </c>
      <c r="P108" s="40" t="s">
        <v>497</v>
      </c>
      <c r="Q108" s="69"/>
      <c r="R108" s="1"/>
      <c r="S108" s="1"/>
      <c r="T108" s="1"/>
    </row>
    <row r="109" spans="1:20">
      <c r="A109" s="4">
        <v>112</v>
      </c>
      <c r="B109" s="1" t="s">
        <v>232</v>
      </c>
      <c r="C109" s="1" t="s">
        <v>233</v>
      </c>
      <c r="D109" s="1" t="s">
        <v>8</v>
      </c>
      <c r="E109" s="1" t="s">
        <v>160</v>
      </c>
      <c r="F109" s="1" t="s">
        <v>533</v>
      </c>
      <c r="G109" s="1">
        <v>12</v>
      </c>
      <c r="H109" s="1">
        <v>297</v>
      </c>
      <c r="I109" s="10">
        <f t="shared" si="3"/>
        <v>3564</v>
      </c>
      <c r="J109" s="1"/>
      <c r="K109" s="1">
        <v>5000</v>
      </c>
      <c r="L109" s="1">
        <f t="shared" si="6"/>
        <v>-1436</v>
      </c>
      <c r="M109" s="1"/>
      <c r="N109" s="1"/>
      <c r="O109" s="11">
        <f t="shared" si="5"/>
        <v>-1436</v>
      </c>
      <c r="P109" s="40" t="s">
        <v>497</v>
      </c>
      <c r="Q109" s="69"/>
      <c r="R109" s="1"/>
      <c r="S109" s="1"/>
      <c r="T109" s="1"/>
    </row>
    <row r="110" spans="1:20">
      <c r="A110" s="4">
        <v>113</v>
      </c>
      <c r="B110" s="1" t="s">
        <v>234</v>
      </c>
      <c r="C110" s="1" t="s">
        <v>145</v>
      </c>
      <c r="D110" s="1" t="s">
        <v>118</v>
      </c>
      <c r="E110" s="1" t="s">
        <v>9</v>
      </c>
      <c r="F110" s="1" t="s">
        <v>529</v>
      </c>
      <c r="G110" s="1">
        <v>13</v>
      </c>
      <c r="H110" s="1">
        <v>352</v>
      </c>
      <c r="I110" s="10">
        <f t="shared" si="3"/>
        <v>4576</v>
      </c>
      <c r="J110" s="1"/>
      <c r="K110" s="1"/>
      <c r="L110" s="1">
        <f t="shared" si="6"/>
        <v>4576</v>
      </c>
      <c r="M110" s="1"/>
      <c r="N110" s="1"/>
      <c r="O110" s="11">
        <f t="shared" si="5"/>
        <v>4576</v>
      </c>
      <c r="P110" s="40"/>
      <c r="Q110" s="69" t="s">
        <v>527</v>
      </c>
      <c r="R110" s="1"/>
      <c r="S110" s="1"/>
      <c r="T110" s="1"/>
    </row>
    <row r="111" spans="1:20">
      <c r="A111" s="4">
        <v>114</v>
      </c>
      <c r="B111" s="1" t="s">
        <v>235</v>
      </c>
      <c r="C111" s="1" t="s">
        <v>236</v>
      </c>
      <c r="D111" s="1" t="s">
        <v>8</v>
      </c>
      <c r="E111" s="1" t="s">
        <v>19</v>
      </c>
      <c r="F111" s="1" t="s">
        <v>529</v>
      </c>
      <c r="G111" s="1">
        <v>13</v>
      </c>
      <c r="H111" s="1">
        <v>458</v>
      </c>
      <c r="I111" s="10">
        <f t="shared" si="3"/>
        <v>5954</v>
      </c>
      <c r="J111" s="1"/>
      <c r="K111" s="1"/>
      <c r="L111" s="1">
        <f t="shared" si="6"/>
        <v>5954</v>
      </c>
      <c r="M111" s="1"/>
      <c r="N111" s="1"/>
      <c r="O111" s="11">
        <f t="shared" si="5"/>
        <v>5954</v>
      </c>
      <c r="P111" s="40"/>
      <c r="Q111" s="69">
        <v>5</v>
      </c>
      <c r="R111" s="1"/>
      <c r="S111" s="1"/>
      <c r="T111" s="1"/>
    </row>
    <row r="112" spans="1:20">
      <c r="A112" s="4">
        <v>117</v>
      </c>
      <c r="B112" s="1" t="s">
        <v>237</v>
      </c>
      <c r="C112" s="1" t="s">
        <v>233</v>
      </c>
      <c r="D112" s="1" t="s">
        <v>238</v>
      </c>
      <c r="E112" s="1" t="s">
        <v>24</v>
      </c>
      <c r="F112" s="1" t="s">
        <v>529</v>
      </c>
      <c r="G112" s="1">
        <v>13</v>
      </c>
      <c r="H112" s="1">
        <v>385</v>
      </c>
      <c r="I112" s="10">
        <f t="shared" si="3"/>
        <v>5005</v>
      </c>
      <c r="J112" s="1"/>
      <c r="K112" s="1"/>
      <c r="L112" s="1">
        <f t="shared" si="6"/>
        <v>5005</v>
      </c>
      <c r="M112" s="1"/>
      <c r="N112" s="1"/>
      <c r="O112" s="11">
        <f t="shared" si="5"/>
        <v>5005</v>
      </c>
      <c r="P112" s="40"/>
      <c r="Q112" s="69">
        <v>5</v>
      </c>
      <c r="R112" s="1"/>
      <c r="S112" s="1"/>
      <c r="T112" s="1"/>
    </row>
    <row r="113" spans="1:20">
      <c r="A113" s="4">
        <v>119</v>
      </c>
      <c r="B113" s="1" t="s">
        <v>239</v>
      </c>
      <c r="C113" s="1" t="s">
        <v>240</v>
      </c>
      <c r="D113" s="1" t="s">
        <v>241</v>
      </c>
      <c r="E113" s="1" t="s">
        <v>150</v>
      </c>
      <c r="F113" s="1"/>
      <c r="G113" s="1">
        <v>20</v>
      </c>
      <c r="H113" s="1">
        <v>266</v>
      </c>
      <c r="I113" s="10">
        <f t="shared" si="3"/>
        <v>5320</v>
      </c>
      <c r="J113" s="1"/>
      <c r="K113" s="1"/>
      <c r="L113" s="1">
        <f t="shared" si="6"/>
        <v>5320</v>
      </c>
      <c r="M113" s="1"/>
      <c r="N113" s="1"/>
      <c r="O113" s="11">
        <f t="shared" si="5"/>
        <v>5320</v>
      </c>
      <c r="P113" s="40"/>
      <c r="Q113" s="69">
        <v>5</v>
      </c>
      <c r="R113" s="1"/>
      <c r="S113" s="1"/>
      <c r="T113" s="1"/>
    </row>
    <row r="114" spans="1:20">
      <c r="A114" s="4">
        <v>118</v>
      </c>
      <c r="B114" s="1" t="s">
        <v>242</v>
      </c>
      <c r="C114" s="1" t="s">
        <v>42</v>
      </c>
      <c r="D114" s="1" t="s">
        <v>88</v>
      </c>
      <c r="E114" s="1" t="s">
        <v>200</v>
      </c>
      <c r="F114" s="1"/>
      <c r="G114" s="1">
        <v>20</v>
      </c>
      <c r="H114" s="1">
        <v>524</v>
      </c>
      <c r="I114" s="10">
        <f t="shared" si="3"/>
        <v>10480</v>
      </c>
      <c r="J114" s="1"/>
      <c r="K114" s="1"/>
      <c r="L114" s="1">
        <f t="shared" si="6"/>
        <v>10480</v>
      </c>
      <c r="M114" s="1"/>
      <c r="N114" s="1"/>
      <c r="O114" s="11">
        <f t="shared" si="5"/>
        <v>10480</v>
      </c>
      <c r="P114" s="40"/>
      <c r="Q114" s="69" t="s">
        <v>527</v>
      </c>
      <c r="R114" s="1"/>
      <c r="S114" s="1"/>
      <c r="T114" s="1"/>
    </row>
    <row r="115" spans="1:20">
      <c r="A115" s="4">
        <v>120</v>
      </c>
      <c r="B115" s="1" t="s">
        <v>243</v>
      </c>
      <c r="C115" s="1" t="s">
        <v>58</v>
      </c>
      <c r="D115" s="1" t="s">
        <v>244</v>
      </c>
      <c r="E115" s="1" t="s">
        <v>114</v>
      </c>
      <c r="F115" s="1"/>
      <c r="G115" s="1">
        <v>25</v>
      </c>
      <c r="H115" s="1">
        <v>214</v>
      </c>
      <c r="I115" s="10">
        <f t="shared" si="3"/>
        <v>5350</v>
      </c>
      <c r="J115" s="1"/>
      <c r="K115" s="1"/>
      <c r="L115" s="1">
        <f t="shared" si="6"/>
        <v>5350</v>
      </c>
      <c r="M115" s="1">
        <v>500</v>
      </c>
      <c r="N115" s="1">
        <v>100</v>
      </c>
      <c r="O115" s="11">
        <f t="shared" si="5"/>
        <v>4750</v>
      </c>
      <c r="P115" s="40"/>
      <c r="Q115" s="69">
        <v>5</v>
      </c>
      <c r="R115" s="1"/>
      <c r="S115" s="1"/>
      <c r="T115" s="1"/>
    </row>
    <row r="116" spans="1:20">
      <c r="A116" s="4">
        <v>123</v>
      </c>
      <c r="B116" s="1" t="s">
        <v>245</v>
      </c>
      <c r="C116" s="1" t="s">
        <v>246</v>
      </c>
      <c r="D116" s="1" t="s">
        <v>185</v>
      </c>
      <c r="E116" s="1" t="s">
        <v>47</v>
      </c>
      <c r="F116" s="1" t="s">
        <v>530</v>
      </c>
      <c r="G116" s="1">
        <v>35</v>
      </c>
      <c r="H116" s="1">
        <v>401</v>
      </c>
      <c r="I116" s="10">
        <f t="shared" si="3"/>
        <v>14035</v>
      </c>
      <c r="J116" s="1"/>
      <c r="K116" s="1"/>
      <c r="L116" s="1">
        <f t="shared" si="6"/>
        <v>14035</v>
      </c>
      <c r="M116" s="1"/>
      <c r="N116" s="1"/>
      <c r="O116" s="11">
        <f t="shared" si="5"/>
        <v>14035</v>
      </c>
      <c r="P116" s="40"/>
      <c r="Q116" s="69"/>
      <c r="R116" s="1"/>
      <c r="S116" s="1"/>
      <c r="T116" s="1"/>
    </row>
    <row r="117" spans="1:20">
      <c r="A117" s="4">
        <v>122</v>
      </c>
      <c r="B117" s="1" t="s">
        <v>247</v>
      </c>
      <c r="C117" s="1" t="s">
        <v>17</v>
      </c>
      <c r="D117" s="1" t="s">
        <v>8</v>
      </c>
      <c r="E117" s="1" t="s">
        <v>9</v>
      </c>
      <c r="F117" s="1" t="s">
        <v>529</v>
      </c>
      <c r="G117" s="1">
        <v>13</v>
      </c>
      <c r="H117" s="1">
        <v>465</v>
      </c>
      <c r="I117" s="10">
        <f t="shared" si="3"/>
        <v>6045</v>
      </c>
      <c r="J117" s="1"/>
      <c r="K117" s="1"/>
      <c r="L117" s="1">
        <f t="shared" si="6"/>
        <v>6045</v>
      </c>
      <c r="M117" s="1"/>
      <c r="N117" s="1"/>
      <c r="O117" s="11">
        <f t="shared" si="5"/>
        <v>6045</v>
      </c>
      <c r="P117" s="40"/>
      <c r="Q117" s="69">
        <v>5</v>
      </c>
      <c r="R117" s="1"/>
      <c r="S117" s="1"/>
      <c r="T117" s="1"/>
    </row>
    <row r="118" spans="1:20">
      <c r="A118" s="4">
        <v>121</v>
      </c>
      <c r="B118" s="1" t="s">
        <v>248</v>
      </c>
      <c r="C118" s="1" t="s">
        <v>249</v>
      </c>
      <c r="D118" s="1" t="s">
        <v>250</v>
      </c>
      <c r="E118" s="1" t="s">
        <v>167</v>
      </c>
      <c r="F118" s="1"/>
      <c r="G118" s="1">
        <v>18</v>
      </c>
      <c r="H118" s="1">
        <v>496</v>
      </c>
      <c r="I118" s="10">
        <f t="shared" si="3"/>
        <v>8928</v>
      </c>
      <c r="J118" s="1"/>
      <c r="K118" s="1"/>
      <c r="L118" s="1">
        <f t="shared" si="6"/>
        <v>8928</v>
      </c>
      <c r="M118" s="1"/>
      <c r="N118" s="1"/>
      <c r="O118" s="11">
        <f t="shared" si="5"/>
        <v>8928</v>
      </c>
      <c r="P118" s="40" t="s">
        <v>497</v>
      </c>
      <c r="Q118" s="69"/>
      <c r="R118" s="1"/>
      <c r="S118" s="1"/>
      <c r="T118" s="1"/>
    </row>
    <row r="119" spans="1:20">
      <c r="A119" s="4">
        <v>125</v>
      </c>
      <c r="B119" s="1" t="s">
        <v>251</v>
      </c>
      <c r="C119" s="1" t="s">
        <v>17</v>
      </c>
      <c r="D119" s="1" t="s">
        <v>70</v>
      </c>
      <c r="E119" s="1" t="s">
        <v>224</v>
      </c>
      <c r="F119" s="1"/>
      <c r="G119" s="1">
        <v>12</v>
      </c>
      <c r="H119" s="1">
        <v>328</v>
      </c>
      <c r="I119" s="10">
        <f t="shared" si="3"/>
        <v>3936</v>
      </c>
      <c r="J119" s="1"/>
      <c r="K119" s="1"/>
      <c r="L119" s="1">
        <f t="shared" si="6"/>
        <v>3936</v>
      </c>
      <c r="M119" s="1"/>
      <c r="N119" s="1"/>
      <c r="O119" s="11">
        <f t="shared" si="5"/>
        <v>3936</v>
      </c>
      <c r="P119" s="40"/>
      <c r="Q119" s="69">
        <v>3</v>
      </c>
      <c r="R119" s="1"/>
      <c r="S119" s="1"/>
      <c r="T119" s="1"/>
    </row>
    <row r="120" spans="1:20">
      <c r="A120" s="4">
        <v>124</v>
      </c>
      <c r="B120" s="1" t="s">
        <v>252</v>
      </c>
      <c r="C120" s="1" t="s">
        <v>17</v>
      </c>
      <c r="D120" s="1" t="s">
        <v>70</v>
      </c>
      <c r="E120" s="1" t="s">
        <v>224</v>
      </c>
      <c r="F120" s="1"/>
      <c r="G120" s="1">
        <v>13</v>
      </c>
      <c r="H120" s="1">
        <v>328</v>
      </c>
      <c r="I120" s="10">
        <f t="shared" si="3"/>
        <v>4264</v>
      </c>
      <c r="J120" s="1"/>
      <c r="K120" s="1"/>
      <c r="L120" s="1">
        <f t="shared" si="6"/>
        <v>4264</v>
      </c>
      <c r="M120" s="1"/>
      <c r="N120" s="1"/>
      <c r="O120" s="11">
        <f t="shared" si="5"/>
        <v>4264</v>
      </c>
      <c r="P120" s="40"/>
      <c r="Q120" s="69">
        <v>3</v>
      </c>
      <c r="R120" s="1"/>
      <c r="S120" s="1"/>
      <c r="T120" s="1"/>
    </row>
    <row r="121" spans="1:20">
      <c r="A121" s="4">
        <v>127</v>
      </c>
      <c r="B121" s="1" t="s">
        <v>253</v>
      </c>
      <c r="C121" s="1" t="s">
        <v>56</v>
      </c>
      <c r="D121" s="1" t="s">
        <v>254</v>
      </c>
      <c r="E121" s="1" t="s">
        <v>19</v>
      </c>
      <c r="F121" s="1" t="s">
        <v>529</v>
      </c>
      <c r="G121" s="1">
        <v>13</v>
      </c>
      <c r="H121" s="1">
        <v>396</v>
      </c>
      <c r="I121" s="10">
        <f t="shared" si="3"/>
        <v>5148</v>
      </c>
      <c r="J121" s="1"/>
      <c r="K121" s="1"/>
      <c r="L121" s="1">
        <f t="shared" si="6"/>
        <v>5148</v>
      </c>
      <c r="M121" s="1"/>
      <c r="N121" s="1"/>
      <c r="O121" s="11">
        <f t="shared" si="5"/>
        <v>5148</v>
      </c>
      <c r="P121" s="40"/>
      <c r="Q121" s="69">
        <v>5</v>
      </c>
      <c r="R121" s="1"/>
      <c r="S121" s="1"/>
      <c r="T121" s="1"/>
    </row>
    <row r="122" spans="1:20">
      <c r="A122" s="4">
        <v>126</v>
      </c>
      <c r="B122" s="1" t="s">
        <v>255</v>
      </c>
      <c r="C122" s="1" t="s">
        <v>180</v>
      </c>
      <c r="D122" s="1" t="s">
        <v>51</v>
      </c>
      <c r="E122" s="1" t="s">
        <v>160</v>
      </c>
      <c r="F122" s="1" t="s">
        <v>533</v>
      </c>
      <c r="G122" s="1">
        <v>25</v>
      </c>
      <c r="H122" s="1">
        <v>304</v>
      </c>
      <c r="I122" s="10">
        <f t="shared" si="3"/>
        <v>7600</v>
      </c>
      <c r="J122" s="1"/>
      <c r="K122" s="1">
        <v>6000</v>
      </c>
      <c r="L122" s="1">
        <f t="shared" si="6"/>
        <v>1600</v>
      </c>
      <c r="M122" s="1">
        <v>500</v>
      </c>
      <c r="N122" s="1">
        <v>100</v>
      </c>
      <c r="O122" s="11">
        <f t="shared" si="5"/>
        <v>1000</v>
      </c>
      <c r="P122" s="40" t="s">
        <v>497</v>
      </c>
      <c r="Q122" s="69" t="s">
        <v>527</v>
      </c>
      <c r="R122" s="1"/>
      <c r="S122" s="1"/>
      <c r="T122" s="1"/>
    </row>
    <row r="123" spans="1:20">
      <c r="A123" s="4">
        <v>128</v>
      </c>
      <c r="B123" s="1" t="s">
        <v>256</v>
      </c>
      <c r="C123" s="1" t="s">
        <v>257</v>
      </c>
      <c r="D123" s="1" t="s">
        <v>258</v>
      </c>
      <c r="E123" s="1" t="s">
        <v>156</v>
      </c>
      <c r="F123" s="1"/>
      <c r="G123" s="1">
        <v>25</v>
      </c>
      <c r="H123" s="1">
        <v>256</v>
      </c>
      <c r="I123" s="10">
        <f t="shared" si="3"/>
        <v>6400</v>
      </c>
      <c r="J123" s="1"/>
      <c r="K123" s="1"/>
      <c r="L123" s="1">
        <f t="shared" si="6"/>
        <v>6400</v>
      </c>
      <c r="M123" s="1"/>
      <c r="N123" s="1"/>
      <c r="O123" s="11">
        <f t="shared" si="5"/>
        <v>6400</v>
      </c>
      <c r="P123" s="40"/>
      <c r="Q123" s="69" t="s">
        <v>527</v>
      </c>
      <c r="R123" s="1"/>
      <c r="S123" s="1"/>
      <c r="T123" s="1"/>
    </row>
    <row r="124" spans="1:20">
      <c r="A124" s="4">
        <v>130</v>
      </c>
      <c r="B124" s="1" t="s">
        <v>259</v>
      </c>
      <c r="C124" s="1" t="s">
        <v>240</v>
      </c>
      <c r="D124" s="1" t="s">
        <v>59</v>
      </c>
      <c r="E124" s="1" t="s">
        <v>226</v>
      </c>
      <c r="F124" s="1"/>
      <c r="G124" s="1">
        <v>15</v>
      </c>
      <c r="H124" s="1">
        <v>206</v>
      </c>
      <c r="I124" s="10">
        <f t="shared" si="3"/>
        <v>3090</v>
      </c>
      <c r="J124" s="1"/>
      <c r="K124" s="1"/>
      <c r="L124" s="1">
        <f t="shared" si="6"/>
        <v>3090</v>
      </c>
      <c r="M124" s="1"/>
      <c r="N124" s="1"/>
      <c r="O124" s="11">
        <f t="shared" si="5"/>
        <v>3090</v>
      </c>
      <c r="P124" s="40"/>
      <c r="Q124" s="69"/>
      <c r="R124" s="1"/>
      <c r="S124" s="1"/>
      <c r="T124" s="1"/>
    </row>
    <row r="125" spans="1:20">
      <c r="A125" s="4">
        <v>129</v>
      </c>
      <c r="B125" s="1" t="s">
        <v>253</v>
      </c>
      <c r="C125" s="1" t="s">
        <v>240</v>
      </c>
      <c r="D125" s="1" t="s">
        <v>59</v>
      </c>
      <c r="E125" s="1" t="s">
        <v>226</v>
      </c>
      <c r="F125" s="1"/>
      <c r="G125" s="1">
        <v>10</v>
      </c>
      <c r="H125" s="1">
        <v>206</v>
      </c>
      <c r="I125" s="10">
        <f t="shared" si="3"/>
        <v>2060</v>
      </c>
      <c r="J125" s="1"/>
      <c r="K125" s="1"/>
      <c r="L125" s="1">
        <f t="shared" si="6"/>
        <v>2060</v>
      </c>
      <c r="M125" s="1"/>
      <c r="N125" s="1"/>
      <c r="O125" s="11">
        <f t="shared" si="5"/>
        <v>2060</v>
      </c>
      <c r="P125" s="40"/>
      <c r="Q125" s="69">
        <v>3</v>
      </c>
      <c r="R125" s="1"/>
      <c r="S125" s="1"/>
      <c r="T125" s="1"/>
    </row>
    <row r="126" spans="1:20">
      <c r="A126" s="4">
        <v>132</v>
      </c>
      <c r="B126" s="1" t="s">
        <v>260</v>
      </c>
      <c r="C126" s="1" t="s">
        <v>37</v>
      </c>
      <c r="D126" s="1" t="s">
        <v>38</v>
      </c>
      <c r="E126" s="1" t="s">
        <v>114</v>
      </c>
      <c r="F126" s="1"/>
      <c r="G126" s="1">
        <v>25</v>
      </c>
      <c r="H126" s="1">
        <v>321</v>
      </c>
      <c r="I126" s="10">
        <f t="shared" si="3"/>
        <v>8025</v>
      </c>
      <c r="J126" s="1"/>
      <c r="K126" s="1">
        <v>10000</v>
      </c>
      <c r="L126" s="1">
        <f t="shared" si="6"/>
        <v>-1975</v>
      </c>
      <c r="M126" s="1">
        <v>500</v>
      </c>
      <c r="N126" s="1">
        <v>100</v>
      </c>
      <c r="O126" s="11">
        <f t="shared" si="5"/>
        <v>-2575</v>
      </c>
      <c r="P126" s="40"/>
      <c r="Q126" s="69">
        <v>6</v>
      </c>
      <c r="R126" s="1"/>
      <c r="S126" s="1"/>
      <c r="T126" s="1"/>
    </row>
    <row r="127" spans="1:20">
      <c r="A127" s="4">
        <v>135</v>
      </c>
      <c r="B127" s="1" t="s">
        <v>261</v>
      </c>
      <c r="C127" s="1" t="s">
        <v>194</v>
      </c>
      <c r="D127" s="1" t="s">
        <v>262</v>
      </c>
      <c r="E127" s="1" t="s">
        <v>14</v>
      </c>
      <c r="F127" s="1" t="s">
        <v>529</v>
      </c>
      <c r="G127" s="1">
        <v>25</v>
      </c>
      <c r="H127" s="1">
        <v>531</v>
      </c>
      <c r="I127" s="10">
        <f t="shared" si="3"/>
        <v>13275</v>
      </c>
      <c r="J127" s="1"/>
      <c r="K127" s="1"/>
      <c r="L127" s="1">
        <f t="shared" si="6"/>
        <v>13275</v>
      </c>
      <c r="M127" s="1"/>
      <c r="N127" s="1"/>
      <c r="O127" s="11">
        <f t="shared" si="5"/>
        <v>13275</v>
      </c>
      <c r="P127" s="40"/>
      <c r="Q127" s="69">
        <v>6</v>
      </c>
      <c r="R127" s="1"/>
      <c r="S127" s="1"/>
      <c r="T127" s="1"/>
    </row>
    <row r="128" spans="1:20">
      <c r="A128" s="4">
        <v>134</v>
      </c>
      <c r="B128" s="1" t="s">
        <v>263</v>
      </c>
      <c r="C128" s="1" t="s">
        <v>264</v>
      </c>
      <c r="D128" s="1" t="s">
        <v>123</v>
      </c>
      <c r="E128" s="1" t="s">
        <v>150</v>
      </c>
      <c r="F128" s="1"/>
      <c r="G128" s="1">
        <v>5</v>
      </c>
      <c r="H128" s="1">
        <v>400</v>
      </c>
      <c r="I128" s="10">
        <f t="shared" si="3"/>
        <v>2000</v>
      </c>
      <c r="J128" s="1"/>
      <c r="K128" s="1"/>
      <c r="L128" s="1">
        <f t="shared" si="6"/>
        <v>2000</v>
      </c>
      <c r="M128" s="1"/>
      <c r="N128" s="1"/>
      <c r="O128" s="11">
        <f t="shared" si="5"/>
        <v>2000</v>
      </c>
      <c r="P128" s="40"/>
      <c r="Q128" s="69">
        <v>6</v>
      </c>
      <c r="R128" s="1"/>
      <c r="S128" s="1"/>
      <c r="T128" s="1"/>
    </row>
    <row r="129" spans="1:20">
      <c r="A129" s="4">
        <v>133</v>
      </c>
      <c r="B129" s="1" t="s">
        <v>265</v>
      </c>
      <c r="C129" s="1" t="s">
        <v>264</v>
      </c>
      <c r="D129" s="1" t="s">
        <v>123</v>
      </c>
      <c r="E129" s="1" t="s">
        <v>150</v>
      </c>
      <c r="F129" s="1"/>
      <c r="G129" s="1">
        <v>15</v>
      </c>
      <c r="H129" s="1">
        <v>400</v>
      </c>
      <c r="I129" s="10">
        <f t="shared" si="3"/>
        <v>6000</v>
      </c>
      <c r="J129" s="1"/>
      <c r="K129" s="1"/>
      <c r="L129" s="1">
        <f t="shared" si="6"/>
        <v>6000</v>
      </c>
      <c r="M129" s="1"/>
      <c r="N129" s="1"/>
      <c r="O129" s="11">
        <f t="shared" si="5"/>
        <v>6000</v>
      </c>
      <c r="P129" s="40"/>
      <c r="Q129" s="69">
        <v>6</v>
      </c>
      <c r="R129" s="1"/>
      <c r="S129" s="1"/>
      <c r="T129" s="1"/>
    </row>
    <row r="130" spans="1:20">
      <c r="A130" s="4">
        <v>136</v>
      </c>
      <c r="B130" s="1" t="s">
        <v>266</v>
      </c>
      <c r="C130" s="1" t="s">
        <v>194</v>
      </c>
      <c r="D130" s="1" t="s">
        <v>76</v>
      </c>
      <c r="E130" s="1" t="s">
        <v>226</v>
      </c>
      <c r="F130" s="1"/>
      <c r="G130" s="1">
        <v>25</v>
      </c>
      <c r="H130" s="1">
        <v>490</v>
      </c>
      <c r="I130" s="10">
        <f t="shared" si="3"/>
        <v>12250</v>
      </c>
      <c r="J130" s="1"/>
      <c r="K130" s="1"/>
      <c r="L130" s="1">
        <f t="shared" si="6"/>
        <v>12250</v>
      </c>
      <c r="M130" s="1"/>
      <c r="N130" s="1"/>
      <c r="O130" s="11">
        <f t="shared" si="5"/>
        <v>12250</v>
      </c>
      <c r="P130" s="40"/>
      <c r="Q130" s="69" t="s">
        <v>525</v>
      </c>
      <c r="R130" s="1"/>
      <c r="S130" s="1"/>
      <c r="T130" s="1"/>
    </row>
    <row r="131" spans="1:20">
      <c r="A131" s="4">
        <v>141</v>
      </c>
      <c r="B131" s="1" t="s">
        <v>267</v>
      </c>
      <c r="C131" s="1" t="s">
        <v>145</v>
      </c>
      <c r="D131" s="1" t="s">
        <v>118</v>
      </c>
      <c r="E131" s="1" t="s">
        <v>19</v>
      </c>
      <c r="F131" s="1" t="s">
        <v>529</v>
      </c>
      <c r="G131" s="1">
        <v>13</v>
      </c>
      <c r="H131" s="1">
        <v>388</v>
      </c>
      <c r="I131" s="10">
        <f t="shared" si="3"/>
        <v>5044</v>
      </c>
      <c r="J131" s="1"/>
      <c r="K131" s="1"/>
      <c r="L131" s="1">
        <f t="shared" si="6"/>
        <v>5044</v>
      </c>
      <c r="M131" s="1"/>
      <c r="N131" s="1"/>
      <c r="O131" s="11">
        <f t="shared" si="5"/>
        <v>5044</v>
      </c>
      <c r="P131" s="40"/>
      <c r="Q131" s="69">
        <v>6</v>
      </c>
      <c r="R131" s="1"/>
      <c r="S131" s="1"/>
      <c r="T131" s="1"/>
    </row>
    <row r="132" spans="1:20">
      <c r="A132" s="4">
        <v>140</v>
      </c>
      <c r="B132" s="1" t="s">
        <v>268</v>
      </c>
      <c r="C132" s="1" t="s">
        <v>269</v>
      </c>
      <c r="D132" s="1" t="s">
        <v>169</v>
      </c>
      <c r="E132" s="1" t="s">
        <v>24</v>
      </c>
      <c r="F132" s="1" t="s">
        <v>529</v>
      </c>
      <c r="G132" s="1">
        <v>13</v>
      </c>
      <c r="H132" s="1">
        <v>454</v>
      </c>
      <c r="I132" s="10">
        <f t="shared" ref="I132:I195" si="7">H132*G132</f>
        <v>5902</v>
      </c>
      <c r="J132" s="1"/>
      <c r="K132" s="1"/>
      <c r="L132" s="1">
        <f t="shared" si="6"/>
        <v>5902</v>
      </c>
      <c r="M132" s="1"/>
      <c r="N132" s="1"/>
      <c r="O132" s="11">
        <f t="shared" ref="O132:O195" si="8">L132-M132-N132</f>
        <v>5902</v>
      </c>
      <c r="P132" s="40"/>
      <c r="Q132" s="69" t="s">
        <v>527</v>
      </c>
      <c r="R132" s="1"/>
      <c r="S132" s="1"/>
      <c r="T132" s="1"/>
    </row>
    <row r="133" spans="1:20">
      <c r="A133" s="4">
        <v>137</v>
      </c>
      <c r="B133" s="1" t="s">
        <v>270</v>
      </c>
      <c r="C133" s="1" t="s">
        <v>240</v>
      </c>
      <c r="D133" s="1" t="s">
        <v>59</v>
      </c>
      <c r="E133" s="1" t="s">
        <v>167</v>
      </c>
      <c r="F133" s="1"/>
      <c r="G133" s="1">
        <v>20</v>
      </c>
      <c r="H133" s="1">
        <v>239</v>
      </c>
      <c r="I133" s="10">
        <f t="shared" si="7"/>
        <v>4780</v>
      </c>
      <c r="J133" s="1"/>
      <c r="K133" s="1"/>
      <c r="L133" s="1">
        <f t="shared" si="6"/>
        <v>4780</v>
      </c>
      <c r="M133" s="1"/>
      <c r="N133" s="1"/>
      <c r="O133" s="11">
        <f t="shared" si="8"/>
        <v>4780</v>
      </c>
      <c r="P133" s="40"/>
      <c r="Q133" s="69">
        <v>6</v>
      </c>
      <c r="R133" s="1"/>
      <c r="S133" s="1"/>
      <c r="T133" s="1"/>
    </row>
    <row r="134" spans="1:20">
      <c r="A134" s="4">
        <v>142</v>
      </c>
      <c r="B134" s="1" t="s">
        <v>271</v>
      </c>
      <c r="C134" s="1" t="s">
        <v>272</v>
      </c>
      <c r="D134" s="1" t="s">
        <v>273</v>
      </c>
      <c r="E134" s="1" t="s">
        <v>9</v>
      </c>
      <c r="F134" s="1" t="s">
        <v>529</v>
      </c>
      <c r="G134" s="1">
        <v>13</v>
      </c>
      <c r="H134" s="1">
        <v>489</v>
      </c>
      <c r="I134" s="10">
        <f t="shared" si="7"/>
        <v>6357</v>
      </c>
      <c r="J134" s="1"/>
      <c r="K134" s="1"/>
      <c r="L134" s="1">
        <f t="shared" ref="L134:L197" si="9">I134-J134-K134</f>
        <v>6357</v>
      </c>
      <c r="M134" s="1"/>
      <c r="N134" s="1"/>
      <c r="O134" s="11">
        <f t="shared" si="8"/>
        <v>6357</v>
      </c>
      <c r="P134" s="40"/>
      <c r="Q134" s="69" t="s">
        <v>527</v>
      </c>
      <c r="R134" s="1"/>
      <c r="S134" s="1"/>
      <c r="T134" s="1"/>
    </row>
    <row r="135" spans="1:20">
      <c r="A135" s="4">
        <v>139</v>
      </c>
      <c r="B135" s="1" t="s">
        <v>274</v>
      </c>
      <c r="C135" s="1" t="s">
        <v>194</v>
      </c>
      <c r="D135" s="1" t="s">
        <v>76</v>
      </c>
      <c r="E135" s="1" t="s">
        <v>160</v>
      </c>
      <c r="F135" s="1" t="s">
        <v>533</v>
      </c>
      <c r="G135" s="1">
        <v>10</v>
      </c>
      <c r="H135" s="1">
        <v>524</v>
      </c>
      <c r="I135" s="10">
        <f t="shared" si="7"/>
        <v>5240</v>
      </c>
      <c r="J135" s="1"/>
      <c r="K135" s="1">
        <v>9500</v>
      </c>
      <c r="L135" s="1">
        <f t="shared" si="9"/>
        <v>-4260</v>
      </c>
      <c r="M135" s="1">
        <v>500</v>
      </c>
      <c r="N135" s="1">
        <v>100</v>
      </c>
      <c r="O135" s="11">
        <f t="shared" si="8"/>
        <v>-4860</v>
      </c>
      <c r="P135" s="40" t="s">
        <v>497</v>
      </c>
      <c r="Q135" s="69"/>
      <c r="R135" s="1"/>
      <c r="S135" s="1"/>
      <c r="T135" s="1"/>
    </row>
    <row r="136" spans="1:20">
      <c r="A136" s="4">
        <v>138</v>
      </c>
      <c r="B136" s="1" t="s">
        <v>275</v>
      </c>
      <c r="C136" s="1" t="s">
        <v>194</v>
      </c>
      <c r="D136" s="1" t="s">
        <v>76</v>
      </c>
      <c r="E136" s="1" t="s">
        <v>160</v>
      </c>
      <c r="F136" s="1" t="s">
        <v>533</v>
      </c>
      <c r="G136" s="1">
        <v>15</v>
      </c>
      <c r="H136" s="1">
        <v>524</v>
      </c>
      <c r="I136" s="10">
        <f t="shared" si="7"/>
        <v>7860</v>
      </c>
      <c r="J136" s="1"/>
      <c r="K136" s="1"/>
      <c r="L136" s="1">
        <f t="shared" si="9"/>
        <v>7860</v>
      </c>
      <c r="M136" s="1"/>
      <c r="N136" s="1"/>
      <c r="O136" s="11">
        <f t="shared" si="8"/>
        <v>7860</v>
      </c>
      <c r="P136" s="40" t="s">
        <v>497</v>
      </c>
      <c r="Q136" s="69"/>
      <c r="R136" s="1"/>
      <c r="S136" s="1"/>
      <c r="T136" s="1"/>
    </row>
    <row r="137" spans="1:20">
      <c r="A137" s="4">
        <v>144</v>
      </c>
      <c r="B137" s="1" t="s">
        <v>276</v>
      </c>
      <c r="C137" s="1" t="s">
        <v>277</v>
      </c>
      <c r="D137" s="1" t="s">
        <v>178</v>
      </c>
      <c r="E137" s="1" t="s">
        <v>278</v>
      </c>
      <c r="F137" s="1"/>
      <c r="G137" s="1">
        <v>25</v>
      </c>
      <c r="H137" s="1">
        <v>431</v>
      </c>
      <c r="I137" s="10">
        <f t="shared" si="7"/>
        <v>10775</v>
      </c>
      <c r="J137" s="1"/>
      <c r="K137" s="1"/>
      <c r="L137" s="1">
        <f t="shared" si="9"/>
        <v>10775</v>
      </c>
      <c r="M137" s="1"/>
      <c r="N137" s="1"/>
      <c r="O137" s="11">
        <f t="shared" si="8"/>
        <v>10775</v>
      </c>
      <c r="P137" s="40"/>
      <c r="Q137" s="69" t="s">
        <v>525</v>
      </c>
      <c r="R137" s="1"/>
      <c r="S137" s="1"/>
      <c r="T137" s="1"/>
    </row>
    <row r="138" spans="1:20">
      <c r="A138" s="4">
        <v>145</v>
      </c>
      <c r="B138" s="1" t="s">
        <v>279</v>
      </c>
      <c r="C138" s="1" t="s">
        <v>280</v>
      </c>
      <c r="D138" s="1" t="s">
        <v>281</v>
      </c>
      <c r="E138" s="1" t="s">
        <v>224</v>
      </c>
      <c r="F138" s="1"/>
      <c r="G138" s="1">
        <v>25</v>
      </c>
      <c r="H138" s="1">
        <v>441</v>
      </c>
      <c r="I138" s="10">
        <f t="shared" si="7"/>
        <v>11025</v>
      </c>
      <c r="J138" s="1"/>
      <c r="K138" s="1"/>
      <c r="L138" s="1">
        <f t="shared" si="9"/>
        <v>11025</v>
      </c>
      <c r="M138" s="1"/>
      <c r="N138" s="1"/>
      <c r="O138" s="11">
        <f t="shared" si="8"/>
        <v>11025</v>
      </c>
      <c r="P138" s="40"/>
      <c r="Q138" s="69" t="s">
        <v>525</v>
      </c>
      <c r="R138" s="1"/>
      <c r="S138" s="1"/>
      <c r="T138" s="1"/>
    </row>
    <row r="139" spans="1:20">
      <c r="A139" s="4">
        <v>148</v>
      </c>
      <c r="B139" s="1" t="s">
        <v>282</v>
      </c>
      <c r="C139" s="1" t="s">
        <v>17</v>
      </c>
      <c r="D139" s="1" t="s">
        <v>118</v>
      </c>
      <c r="E139" s="1" t="s">
        <v>19</v>
      </c>
      <c r="F139" s="1" t="s">
        <v>529</v>
      </c>
      <c r="G139" s="1">
        <v>13</v>
      </c>
      <c r="H139" s="1">
        <v>394</v>
      </c>
      <c r="I139" s="10">
        <f t="shared" si="7"/>
        <v>5122</v>
      </c>
      <c r="J139" s="1">
        <v>2000</v>
      </c>
      <c r="K139" s="1">
        <v>1000</v>
      </c>
      <c r="L139" s="1">
        <f t="shared" si="9"/>
        <v>2122</v>
      </c>
      <c r="M139" s="1"/>
      <c r="N139" s="1"/>
      <c r="O139" s="11">
        <f t="shared" si="8"/>
        <v>2122</v>
      </c>
      <c r="P139" s="40"/>
      <c r="Q139" s="69">
        <v>6</v>
      </c>
      <c r="R139" s="1"/>
      <c r="S139" s="1"/>
      <c r="T139" s="1"/>
    </row>
    <row r="140" spans="1:20">
      <c r="A140" s="4">
        <v>147</v>
      </c>
      <c r="B140" s="1" t="s">
        <v>283</v>
      </c>
      <c r="C140" s="1" t="s">
        <v>37</v>
      </c>
      <c r="D140" s="1" t="s">
        <v>123</v>
      </c>
      <c r="E140" s="1" t="s">
        <v>150</v>
      </c>
      <c r="F140" s="1"/>
      <c r="G140" s="1">
        <v>20</v>
      </c>
      <c r="H140" s="1">
        <v>396</v>
      </c>
      <c r="I140" s="10">
        <f t="shared" si="7"/>
        <v>7920</v>
      </c>
      <c r="J140" s="1">
        <v>4000</v>
      </c>
      <c r="K140" s="1">
        <v>1500</v>
      </c>
      <c r="L140" s="1">
        <f t="shared" si="9"/>
        <v>2420</v>
      </c>
      <c r="M140" s="1"/>
      <c r="N140" s="1"/>
      <c r="O140" s="11">
        <f t="shared" si="8"/>
        <v>2420</v>
      </c>
      <c r="P140" s="40"/>
      <c r="Q140" s="69">
        <v>6</v>
      </c>
      <c r="R140" s="1"/>
      <c r="S140" s="1"/>
      <c r="T140" s="1"/>
    </row>
    <row r="141" spans="1:20">
      <c r="A141" s="4">
        <v>149</v>
      </c>
      <c r="B141" s="1" t="s">
        <v>284</v>
      </c>
      <c r="C141" s="1" t="s">
        <v>30</v>
      </c>
      <c r="D141" s="1" t="s">
        <v>31</v>
      </c>
      <c r="E141" s="1" t="s">
        <v>9</v>
      </c>
      <c r="F141" s="1" t="s">
        <v>529</v>
      </c>
      <c r="G141" s="1">
        <v>13</v>
      </c>
      <c r="H141" s="1">
        <v>354</v>
      </c>
      <c r="I141" s="10">
        <f t="shared" si="7"/>
        <v>4602</v>
      </c>
      <c r="J141" s="1">
        <v>2000</v>
      </c>
      <c r="K141" s="1">
        <v>1000</v>
      </c>
      <c r="L141" s="1">
        <f t="shared" si="9"/>
        <v>1602</v>
      </c>
      <c r="M141" s="1"/>
      <c r="N141" s="1"/>
      <c r="O141" s="11">
        <f t="shared" si="8"/>
        <v>1602</v>
      </c>
      <c r="P141" s="40"/>
      <c r="Q141" s="69">
        <v>6</v>
      </c>
      <c r="R141" s="1"/>
      <c r="S141" s="1"/>
      <c r="T141" s="1"/>
    </row>
    <row r="142" spans="1:20">
      <c r="A142" s="4">
        <v>150</v>
      </c>
      <c r="B142" s="1" t="s">
        <v>285</v>
      </c>
      <c r="C142" s="1" t="s">
        <v>286</v>
      </c>
      <c r="D142" s="1" t="s">
        <v>287</v>
      </c>
      <c r="E142" s="1" t="s">
        <v>288</v>
      </c>
      <c r="F142" s="1"/>
      <c r="G142" s="1">
        <v>12</v>
      </c>
      <c r="H142" s="1">
        <v>411</v>
      </c>
      <c r="I142" s="10">
        <f t="shared" si="7"/>
        <v>4932</v>
      </c>
      <c r="J142" s="1"/>
      <c r="K142" s="1">
        <v>5600</v>
      </c>
      <c r="L142" s="1">
        <f t="shared" si="9"/>
        <v>-668</v>
      </c>
      <c r="M142" s="1"/>
      <c r="N142" s="1"/>
      <c r="O142" s="11">
        <f t="shared" si="8"/>
        <v>-668</v>
      </c>
      <c r="P142" s="40"/>
      <c r="Q142" s="69" t="s">
        <v>525</v>
      </c>
      <c r="R142" s="1"/>
      <c r="S142" s="1"/>
      <c r="T142" s="1"/>
    </row>
    <row r="143" spans="1:20">
      <c r="A143" s="4">
        <v>151</v>
      </c>
      <c r="B143" s="1" t="s">
        <v>289</v>
      </c>
      <c r="C143" s="1" t="s">
        <v>286</v>
      </c>
      <c r="D143" s="1" t="s">
        <v>287</v>
      </c>
      <c r="E143" s="1" t="s">
        <v>288</v>
      </c>
      <c r="F143" s="1"/>
      <c r="G143" s="1">
        <v>8</v>
      </c>
      <c r="H143" s="1">
        <v>411</v>
      </c>
      <c r="I143" s="10">
        <f t="shared" si="7"/>
        <v>3288</v>
      </c>
      <c r="J143" s="1"/>
      <c r="K143" s="1"/>
      <c r="L143" s="1">
        <f t="shared" si="9"/>
        <v>3288</v>
      </c>
      <c r="M143" s="1"/>
      <c r="N143" s="1"/>
      <c r="O143" s="11">
        <f t="shared" si="8"/>
        <v>3288</v>
      </c>
      <c r="P143" s="40"/>
      <c r="Q143" s="69" t="s">
        <v>525</v>
      </c>
      <c r="R143" s="1"/>
      <c r="S143" s="1"/>
      <c r="T143" s="1"/>
    </row>
    <row r="144" spans="1:20">
      <c r="A144" s="4">
        <v>152</v>
      </c>
      <c r="B144" s="1" t="s">
        <v>290</v>
      </c>
      <c r="C144" s="1" t="s">
        <v>148</v>
      </c>
      <c r="D144" s="1" t="s">
        <v>149</v>
      </c>
      <c r="E144" s="1" t="s">
        <v>200</v>
      </c>
      <c r="F144" s="1"/>
      <c r="G144" s="1">
        <v>20</v>
      </c>
      <c r="H144" s="1">
        <v>477</v>
      </c>
      <c r="I144" s="10">
        <f t="shared" si="7"/>
        <v>9540</v>
      </c>
      <c r="J144" s="1">
        <v>4000</v>
      </c>
      <c r="K144" s="1">
        <v>1500</v>
      </c>
      <c r="L144" s="1">
        <f t="shared" si="9"/>
        <v>4040</v>
      </c>
      <c r="M144" s="1"/>
      <c r="N144" s="1"/>
      <c r="O144" s="11">
        <f t="shared" si="8"/>
        <v>4040</v>
      </c>
      <c r="P144" s="40"/>
      <c r="Q144" s="69">
        <v>6</v>
      </c>
      <c r="R144" s="1"/>
      <c r="S144" s="1"/>
      <c r="T144" s="1"/>
    </row>
    <row r="145" spans="1:20">
      <c r="A145" s="4">
        <v>154</v>
      </c>
      <c r="B145" s="1" t="s">
        <v>291</v>
      </c>
      <c r="C145" s="1" t="s">
        <v>180</v>
      </c>
      <c r="D145" s="1" t="s">
        <v>93</v>
      </c>
      <c r="E145" s="1" t="s">
        <v>292</v>
      </c>
      <c r="F145" s="1"/>
      <c r="G145" s="1">
        <v>25</v>
      </c>
      <c r="H145" s="1">
        <v>383</v>
      </c>
      <c r="I145" s="10">
        <f t="shared" si="7"/>
        <v>9575</v>
      </c>
      <c r="J145" s="1">
        <v>4500</v>
      </c>
      <c r="K145" s="1">
        <v>1500</v>
      </c>
      <c r="L145" s="1">
        <f t="shared" si="9"/>
        <v>3575</v>
      </c>
      <c r="M145" s="1"/>
      <c r="N145" s="1"/>
      <c r="O145" s="11">
        <f t="shared" si="8"/>
        <v>3575</v>
      </c>
      <c r="P145" s="40"/>
      <c r="Q145" s="69" t="s">
        <v>525</v>
      </c>
      <c r="R145" s="1"/>
      <c r="S145" s="1"/>
      <c r="T145" s="1"/>
    </row>
    <row r="146" spans="1:20">
      <c r="A146" s="4">
        <v>153</v>
      </c>
      <c r="B146" s="1" t="s">
        <v>293</v>
      </c>
      <c r="C146" s="1" t="s">
        <v>180</v>
      </c>
      <c r="D146" s="1" t="s">
        <v>93</v>
      </c>
      <c r="E146" s="1" t="s">
        <v>156</v>
      </c>
      <c r="F146" s="1"/>
      <c r="G146" s="1">
        <v>25</v>
      </c>
      <c r="H146" s="1">
        <v>383</v>
      </c>
      <c r="I146" s="10">
        <f t="shared" si="7"/>
        <v>9575</v>
      </c>
      <c r="J146" s="1">
        <v>4500</v>
      </c>
      <c r="K146" s="1">
        <v>1500</v>
      </c>
      <c r="L146" s="1">
        <f t="shared" si="9"/>
        <v>3575</v>
      </c>
      <c r="M146" s="1"/>
      <c r="N146" s="1"/>
      <c r="O146" s="11">
        <f t="shared" si="8"/>
        <v>3575</v>
      </c>
      <c r="P146" s="40" t="s">
        <v>497</v>
      </c>
      <c r="Q146" s="69" t="s">
        <v>527</v>
      </c>
      <c r="R146" s="1"/>
      <c r="S146" s="1"/>
      <c r="T146" s="1"/>
    </row>
    <row r="147" spans="1:20">
      <c r="A147" s="4">
        <v>155</v>
      </c>
      <c r="B147" s="1" t="s">
        <v>294</v>
      </c>
      <c r="C147" s="1" t="s">
        <v>295</v>
      </c>
      <c r="D147" s="1" t="s">
        <v>13</v>
      </c>
      <c r="E147" s="1" t="s">
        <v>167</v>
      </c>
      <c r="F147" s="1"/>
      <c r="G147" s="1">
        <v>5.5</v>
      </c>
      <c r="H147" s="1">
        <v>365</v>
      </c>
      <c r="I147" s="10">
        <f t="shared" si="7"/>
        <v>2007.5</v>
      </c>
      <c r="J147" s="1">
        <v>3500</v>
      </c>
      <c r="K147" s="1">
        <v>1500</v>
      </c>
      <c r="L147" s="1">
        <f t="shared" si="9"/>
        <v>-2992.5</v>
      </c>
      <c r="M147" s="1"/>
      <c r="N147" s="1"/>
      <c r="O147" s="11">
        <f t="shared" si="8"/>
        <v>-2992.5</v>
      </c>
      <c r="P147" s="40"/>
      <c r="Q147" s="69">
        <v>6</v>
      </c>
      <c r="R147" s="1"/>
      <c r="S147" s="1"/>
      <c r="T147" s="1"/>
    </row>
    <row r="148" spans="1:20">
      <c r="A148" s="4">
        <v>156</v>
      </c>
      <c r="B148" s="1" t="s">
        <v>296</v>
      </c>
      <c r="C148" s="1" t="s">
        <v>295</v>
      </c>
      <c r="D148" s="1" t="s">
        <v>13</v>
      </c>
      <c r="E148" s="1" t="s">
        <v>167</v>
      </c>
      <c r="F148" s="1"/>
      <c r="G148" s="1">
        <v>12.5</v>
      </c>
      <c r="H148" s="1">
        <v>365</v>
      </c>
      <c r="I148" s="10">
        <f t="shared" si="7"/>
        <v>4562.5</v>
      </c>
      <c r="J148" s="1"/>
      <c r="K148" s="1"/>
      <c r="L148" s="1">
        <f t="shared" si="9"/>
        <v>4562.5</v>
      </c>
      <c r="M148" s="1"/>
      <c r="N148" s="1"/>
      <c r="O148" s="11">
        <f t="shared" si="8"/>
        <v>4562.5</v>
      </c>
      <c r="P148" s="40"/>
      <c r="Q148" s="69">
        <v>6</v>
      </c>
      <c r="R148" s="1"/>
      <c r="S148" s="1"/>
      <c r="T148" s="1"/>
    </row>
    <row r="149" spans="1:20">
      <c r="A149" s="4">
        <v>157</v>
      </c>
      <c r="B149" s="1" t="s">
        <v>297</v>
      </c>
      <c r="C149" s="1" t="s">
        <v>295</v>
      </c>
      <c r="D149" s="1" t="s">
        <v>13</v>
      </c>
      <c r="E149" s="1" t="s">
        <v>167</v>
      </c>
      <c r="F149" s="1"/>
      <c r="G149" s="1">
        <v>2</v>
      </c>
      <c r="H149" s="1">
        <v>365</v>
      </c>
      <c r="I149" s="10">
        <f t="shared" si="7"/>
        <v>730</v>
      </c>
      <c r="J149" s="1"/>
      <c r="K149" s="1"/>
      <c r="L149" s="1">
        <f t="shared" si="9"/>
        <v>730</v>
      </c>
      <c r="M149" s="1"/>
      <c r="N149" s="1"/>
      <c r="O149" s="11">
        <f t="shared" si="8"/>
        <v>730</v>
      </c>
      <c r="P149" s="40"/>
      <c r="Q149" s="69">
        <v>6</v>
      </c>
      <c r="R149" s="1"/>
      <c r="S149" s="1"/>
      <c r="T149" s="1"/>
    </row>
    <row r="150" spans="1:20">
      <c r="A150" s="4">
        <v>159</v>
      </c>
      <c r="B150" s="1" t="s">
        <v>298</v>
      </c>
      <c r="C150" s="1" t="s">
        <v>194</v>
      </c>
      <c r="D150" s="1" t="s">
        <v>137</v>
      </c>
      <c r="E150" s="1" t="s">
        <v>224</v>
      </c>
      <c r="F150" s="1"/>
      <c r="G150" s="1">
        <v>25</v>
      </c>
      <c r="H150" s="1">
        <v>550</v>
      </c>
      <c r="I150" s="10">
        <f t="shared" si="7"/>
        <v>13750</v>
      </c>
      <c r="J150" s="1"/>
      <c r="K150" s="1">
        <v>10000</v>
      </c>
      <c r="L150" s="1">
        <f t="shared" si="9"/>
        <v>3750</v>
      </c>
      <c r="M150" s="1"/>
      <c r="N150" s="1"/>
      <c r="O150" s="11">
        <f t="shared" si="8"/>
        <v>3750</v>
      </c>
      <c r="P150" s="40"/>
      <c r="Q150" s="69" t="s">
        <v>525</v>
      </c>
      <c r="R150" s="1"/>
      <c r="S150" s="1"/>
      <c r="T150" s="1"/>
    </row>
    <row r="151" spans="1:20">
      <c r="A151" s="4">
        <v>160</v>
      </c>
      <c r="B151" s="1" t="s">
        <v>299</v>
      </c>
      <c r="C151" s="1" t="s">
        <v>300</v>
      </c>
      <c r="D151" s="1" t="s">
        <v>76</v>
      </c>
      <c r="E151" s="1" t="s">
        <v>14</v>
      </c>
      <c r="F151" s="1" t="s">
        <v>529</v>
      </c>
      <c r="G151" s="1">
        <v>25</v>
      </c>
      <c r="H151" s="1">
        <v>531</v>
      </c>
      <c r="I151" s="10">
        <f t="shared" si="7"/>
        <v>13275</v>
      </c>
      <c r="J151" s="1">
        <v>7000</v>
      </c>
      <c r="K151" s="1">
        <v>2000</v>
      </c>
      <c r="L151" s="1">
        <f t="shared" si="9"/>
        <v>4275</v>
      </c>
      <c r="M151" s="1"/>
      <c r="N151" s="1"/>
      <c r="O151" s="11">
        <f t="shared" si="8"/>
        <v>4275</v>
      </c>
      <c r="P151" s="40"/>
      <c r="Q151" s="69">
        <v>6</v>
      </c>
      <c r="R151" s="1"/>
      <c r="S151" s="1"/>
      <c r="T151" s="1"/>
    </row>
    <row r="152" spans="1:20">
      <c r="A152" s="4">
        <v>161</v>
      </c>
      <c r="B152" s="1" t="s">
        <v>301</v>
      </c>
      <c r="C152" s="1" t="s">
        <v>302</v>
      </c>
      <c r="D152" s="1" t="s">
        <v>303</v>
      </c>
      <c r="E152" s="1" t="s">
        <v>304</v>
      </c>
      <c r="F152" s="1"/>
      <c r="G152" s="1">
        <v>25</v>
      </c>
      <c r="H152" s="1">
        <v>569</v>
      </c>
      <c r="I152" s="10">
        <f t="shared" si="7"/>
        <v>14225</v>
      </c>
      <c r="J152" s="1"/>
      <c r="K152" s="1">
        <v>10000</v>
      </c>
      <c r="L152" s="1">
        <f t="shared" si="9"/>
        <v>4225</v>
      </c>
      <c r="M152" s="1"/>
      <c r="N152" s="1"/>
      <c r="O152" s="11">
        <f t="shared" si="8"/>
        <v>4225</v>
      </c>
      <c r="P152" s="40"/>
      <c r="Q152" s="69" t="s">
        <v>525</v>
      </c>
      <c r="R152" s="1"/>
      <c r="S152" s="1"/>
      <c r="T152" s="1"/>
    </row>
    <row r="153" spans="1:20">
      <c r="A153" s="4">
        <v>162</v>
      </c>
      <c r="B153" s="1" t="s">
        <v>305</v>
      </c>
      <c r="C153" s="1" t="s">
        <v>306</v>
      </c>
      <c r="D153" s="1" t="s">
        <v>303</v>
      </c>
      <c r="E153" s="1" t="s">
        <v>226</v>
      </c>
      <c r="F153" s="1"/>
      <c r="G153" s="1">
        <v>25</v>
      </c>
      <c r="H153" s="1">
        <v>571</v>
      </c>
      <c r="I153" s="10">
        <f t="shared" si="7"/>
        <v>14275</v>
      </c>
      <c r="J153" s="1">
        <v>7000</v>
      </c>
      <c r="K153" s="1">
        <v>1500</v>
      </c>
      <c r="L153" s="1">
        <f t="shared" si="9"/>
        <v>5775</v>
      </c>
      <c r="M153" s="1"/>
      <c r="N153" s="1"/>
      <c r="O153" s="11">
        <f t="shared" si="8"/>
        <v>5775</v>
      </c>
      <c r="P153" s="40"/>
      <c r="Q153" s="69" t="s">
        <v>527</v>
      </c>
      <c r="R153" s="1"/>
      <c r="S153" s="1"/>
      <c r="T153" s="1"/>
    </row>
    <row r="154" spans="1:20">
      <c r="A154" s="4">
        <v>163</v>
      </c>
      <c r="B154" s="1" t="s">
        <v>307</v>
      </c>
      <c r="C154" s="1" t="s">
        <v>295</v>
      </c>
      <c r="D154" s="1" t="s">
        <v>13</v>
      </c>
      <c r="E154" s="1" t="s">
        <v>278</v>
      </c>
      <c r="F154" s="1"/>
      <c r="G154" s="1">
        <v>12.5</v>
      </c>
      <c r="H154" s="1">
        <v>329</v>
      </c>
      <c r="I154" s="10">
        <f t="shared" si="7"/>
        <v>4112.5</v>
      </c>
      <c r="J154" s="1">
        <v>4000</v>
      </c>
      <c r="K154" s="1">
        <v>1500</v>
      </c>
      <c r="L154" s="1">
        <f t="shared" si="9"/>
        <v>-1387.5</v>
      </c>
      <c r="M154" s="1"/>
      <c r="N154" s="1"/>
      <c r="O154" s="11">
        <f t="shared" si="8"/>
        <v>-1387.5</v>
      </c>
      <c r="P154" s="40"/>
      <c r="Q154" s="69" t="s">
        <v>525</v>
      </c>
      <c r="R154" s="1"/>
      <c r="S154" s="1"/>
      <c r="T154" s="1"/>
    </row>
    <row r="155" spans="1:20">
      <c r="A155" s="4">
        <v>164</v>
      </c>
      <c r="B155" s="1" t="s">
        <v>301</v>
      </c>
      <c r="C155" s="1" t="s">
        <v>295</v>
      </c>
      <c r="D155" s="1" t="s">
        <v>13</v>
      </c>
      <c r="E155" s="1" t="s">
        <v>278</v>
      </c>
      <c r="F155" s="1"/>
      <c r="G155" s="1">
        <v>12.5</v>
      </c>
      <c r="H155" s="1">
        <v>329</v>
      </c>
      <c r="I155" s="10">
        <f t="shared" si="7"/>
        <v>4112.5</v>
      </c>
      <c r="J155" s="1"/>
      <c r="K155" s="1"/>
      <c r="L155" s="1">
        <f t="shared" si="9"/>
        <v>4112.5</v>
      </c>
      <c r="M155" s="1"/>
      <c r="N155" s="1"/>
      <c r="O155" s="11">
        <f t="shared" si="8"/>
        <v>4112.5</v>
      </c>
      <c r="P155" s="40"/>
      <c r="Q155" s="69" t="s">
        <v>525</v>
      </c>
      <c r="R155" s="1"/>
      <c r="S155" s="1"/>
      <c r="T155" s="1"/>
    </row>
    <row r="156" spans="1:20">
      <c r="A156" s="4">
        <v>165</v>
      </c>
      <c r="B156" s="1" t="s">
        <v>308</v>
      </c>
      <c r="C156" s="1" t="s">
        <v>180</v>
      </c>
      <c r="D156" s="1" t="s">
        <v>174</v>
      </c>
      <c r="E156" s="1" t="s">
        <v>114</v>
      </c>
      <c r="F156" s="1"/>
      <c r="G156" s="1">
        <v>25</v>
      </c>
      <c r="H156" s="1">
        <v>246</v>
      </c>
      <c r="I156" s="10">
        <f t="shared" si="7"/>
        <v>6150</v>
      </c>
      <c r="J156" s="1"/>
      <c r="K156" s="1">
        <v>5000</v>
      </c>
      <c r="L156" s="1">
        <f t="shared" si="9"/>
        <v>1150</v>
      </c>
      <c r="M156" s="1">
        <v>500</v>
      </c>
      <c r="N156" s="1">
        <v>100</v>
      </c>
      <c r="O156" s="11">
        <f t="shared" si="8"/>
        <v>550</v>
      </c>
      <c r="P156" s="40"/>
      <c r="Q156" s="69" t="s">
        <v>527</v>
      </c>
      <c r="R156" s="1"/>
      <c r="S156" s="1"/>
      <c r="T156" s="1"/>
    </row>
    <row r="157" spans="1:20">
      <c r="A157" s="4">
        <v>166</v>
      </c>
      <c r="B157" s="1" t="s">
        <v>309</v>
      </c>
      <c r="C157" s="1" t="s">
        <v>17</v>
      </c>
      <c r="D157" s="1" t="s">
        <v>31</v>
      </c>
      <c r="E157" s="1" t="s">
        <v>24</v>
      </c>
      <c r="F157" s="1" t="s">
        <v>529</v>
      </c>
      <c r="G157" s="1">
        <v>13</v>
      </c>
      <c r="H157" s="1">
        <v>360</v>
      </c>
      <c r="I157" s="10">
        <f t="shared" si="7"/>
        <v>4680</v>
      </c>
      <c r="J157" s="1">
        <v>2000</v>
      </c>
      <c r="K157" s="1">
        <v>1000</v>
      </c>
      <c r="L157" s="1">
        <f t="shared" si="9"/>
        <v>1680</v>
      </c>
      <c r="M157" s="1"/>
      <c r="N157" s="1"/>
      <c r="O157" s="11">
        <f t="shared" si="8"/>
        <v>1680</v>
      </c>
      <c r="P157" s="40"/>
      <c r="Q157" s="69">
        <v>6</v>
      </c>
      <c r="R157" s="1"/>
      <c r="S157" s="1"/>
      <c r="T157" s="1"/>
    </row>
    <row r="158" spans="1:20">
      <c r="A158" s="4">
        <v>168</v>
      </c>
      <c r="B158" s="1" t="s">
        <v>310</v>
      </c>
      <c r="C158" s="1" t="s">
        <v>180</v>
      </c>
      <c r="D158" s="1" t="s">
        <v>228</v>
      </c>
      <c r="E158" s="1" t="s">
        <v>167</v>
      </c>
      <c r="F158" s="1"/>
      <c r="G158" s="1">
        <v>20</v>
      </c>
      <c r="H158" s="1">
        <v>561</v>
      </c>
      <c r="I158" s="10">
        <f t="shared" si="7"/>
        <v>11220</v>
      </c>
      <c r="J158" s="1">
        <v>4500</v>
      </c>
      <c r="K158" s="1">
        <v>1500</v>
      </c>
      <c r="L158" s="1">
        <f t="shared" si="9"/>
        <v>5220</v>
      </c>
      <c r="M158" s="1"/>
      <c r="N158" s="1"/>
      <c r="O158" s="11">
        <f t="shared" si="8"/>
        <v>5220</v>
      </c>
      <c r="P158" s="40"/>
      <c r="Q158" s="69" t="s">
        <v>527</v>
      </c>
      <c r="R158" s="1"/>
      <c r="S158" s="1"/>
      <c r="T158" s="1"/>
    </row>
    <row r="159" spans="1:20">
      <c r="A159" s="4">
        <v>169</v>
      </c>
      <c r="B159" s="1" t="s">
        <v>311</v>
      </c>
      <c r="C159" s="1" t="s">
        <v>257</v>
      </c>
      <c r="D159" s="1" t="s">
        <v>258</v>
      </c>
      <c r="E159" s="1" t="s">
        <v>114</v>
      </c>
      <c r="F159" s="1" t="s">
        <v>532</v>
      </c>
      <c r="G159" s="1">
        <v>25</v>
      </c>
      <c r="H159" s="1">
        <v>283</v>
      </c>
      <c r="I159" s="10">
        <f t="shared" si="7"/>
        <v>7075</v>
      </c>
      <c r="J159" s="1"/>
      <c r="K159" s="1">
        <v>4000</v>
      </c>
      <c r="L159" s="1">
        <f t="shared" si="9"/>
        <v>3075</v>
      </c>
      <c r="M159" s="1">
        <v>500</v>
      </c>
      <c r="N159" s="1">
        <v>100</v>
      </c>
      <c r="O159" s="11">
        <f t="shared" si="8"/>
        <v>2475</v>
      </c>
      <c r="P159" s="40"/>
      <c r="Q159" s="69" t="s">
        <v>527</v>
      </c>
      <c r="R159" s="1"/>
      <c r="S159" s="1"/>
      <c r="T159" s="1"/>
    </row>
    <row r="160" spans="1:20">
      <c r="A160" s="4">
        <v>167</v>
      </c>
      <c r="B160" s="1" t="s">
        <v>312</v>
      </c>
      <c r="C160" s="1" t="s">
        <v>313</v>
      </c>
      <c r="D160" s="1" t="s">
        <v>314</v>
      </c>
      <c r="E160" s="1" t="s">
        <v>150</v>
      </c>
      <c r="F160" s="1"/>
      <c r="G160" s="1">
        <v>20</v>
      </c>
      <c r="H160" s="1">
        <v>408</v>
      </c>
      <c r="I160" s="10">
        <f t="shared" si="7"/>
        <v>8160</v>
      </c>
      <c r="J160" s="1">
        <v>4000</v>
      </c>
      <c r="K160" s="1">
        <v>1500</v>
      </c>
      <c r="L160" s="1">
        <f t="shared" si="9"/>
        <v>2660</v>
      </c>
      <c r="M160" s="1"/>
      <c r="N160" s="1"/>
      <c r="O160" s="11">
        <f t="shared" si="8"/>
        <v>2660</v>
      </c>
      <c r="P160" s="40" t="s">
        <v>497</v>
      </c>
      <c r="Q160" s="69">
        <v>11</v>
      </c>
      <c r="R160" s="1"/>
      <c r="S160" s="1"/>
      <c r="T160" s="1"/>
    </row>
    <row r="161" spans="1:20">
      <c r="A161" s="4">
        <v>170</v>
      </c>
      <c r="B161" s="1" t="s">
        <v>315</v>
      </c>
      <c r="C161" s="1" t="s">
        <v>148</v>
      </c>
      <c r="D161" s="1" t="s">
        <v>230</v>
      </c>
      <c r="E161" s="1" t="s">
        <v>200</v>
      </c>
      <c r="F161" s="1"/>
      <c r="G161" s="1">
        <v>20</v>
      </c>
      <c r="H161" s="1">
        <v>386</v>
      </c>
      <c r="I161" s="10">
        <f t="shared" si="7"/>
        <v>7720</v>
      </c>
      <c r="J161" s="1">
        <v>3000</v>
      </c>
      <c r="K161" s="1">
        <v>1500</v>
      </c>
      <c r="L161" s="1">
        <f t="shared" si="9"/>
        <v>3220</v>
      </c>
      <c r="M161" s="1"/>
      <c r="N161" s="1"/>
      <c r="O161" s="11">
        <f t="shared" si="8"/>
        <v>3220</v>
      </c>
      <c r="P161" s="40"/>
      <c r="Q161" s="69">
        <v>6</v>
      </c>
      <c r="R161" s="1"/>
      <c r="S161" s="1"/>
      <c r="T161" s="1"/>
    </row>
    <row r="162" spans="1:20">
      <c r="A162" s="4">
        <v>171</v>
      </c>
      <c r="B162" s="1" t="s">
        <v>316</v>
      </c>
      <c r="C162" s="1" t="s">
        <v>22</v>
      </c>
      <c r="D162" s="1" t="s">
        <v>23</v>
      </c>
      <c r="E162" s="1" t="s">
        <v>19</v>
      </c>
      <c r="F162" s="1" t="s">
        <v>529</v>
      </c>
      <c r="G162" s="1">
        <v>13</v>
      </c>
      <c r="H162" s="1">
        <v>412</v>
      </c>
      <c r="I162" s="10">
        <f t="shared" si="7"/>
        <v>5356</v>
      </c>
      <c r="J162" s="1">
        <v>2000</v>
      </c>
      <c r="K162" s="1">
        <v>1000</v>
      </c>
      <c r="L162" s="1">
        <f t="shared" si="9"/>
        <v>2356</v>
      </c>
      <c r="M162" s="1"/>
      <c r="N162" s="1"/>
      <c r="O162" s="11">
        <f t="shared" si="8"/>
        <v>2356</v>
      </c>
      <c r="P162" s="40"/>
      <c r="Q162" s="69">
        <v>11</v>
      </c>
      <c r="R162" s="1"/>
      <c r="S162" s="1"/>
      <c r="T162" s="1"/>
    </row>
    <row r="163" spans="1:20">
      <c r="A163" s="4">
        <v>172</v>
      </c>
      <c r="B163" s="1" t="s">
        <v>317</v>
      </c>
      <c r="C163" s="1" t="s">
        <v>318</v>
      </c>
      <c r="D163" s="1" t="s">
        <v>319</v>
      </c>
      <c r="E163" s="1" t="s">
        <v>288</v>
      </c>
      <c r="F163" s="1"/>
      <c r="G163" s="1">
        <v>20</v>
      </c>
      <c r="H163" s="1">
        <v>182</v>
      </c>
      <c r="I163" s="10">
        <f t="shared" si="7"/>
        <v>3640</v>
      </c>
      <c r="J163" s="1"/>
      <c r="K163" s="1"/>
      <c r="L163" s="1">
        <f t="shared" si="9"/>
        <v>3640</v>
      </c>
      <c r="M163" s="1"/>
      <c r="N163" s="1"/>
      <c r="O163" s="11">
        <f t="shared" si="8"/>
        <v>3640</v>
      </c>
      <c r="P163" s="40"/>
      <c r="Q163" s="69">
        <v>6</v>
      </c>
      <c r="R163" s="1"/>
      <c r="S163" s="1"/>
      <c r="T163" s="1"/>
    </row>
    <row r="164" spans="1:20">
      <c r="A164" s="4">
        <v>177</v>
      </c>
      <c r="B164" s="1" t="s">
        <v>320</v>
      </c>
      <c r="C164" s="1" t="s">
        <v>240</v>
      </c>
      <c r="D164" s="1" t="s">
        <v>59</v>
      </c>
      <c r="E164" s="1" t="s">
        <v>224</v>
      </c>
      <c r="F164" s="1"/>
      <c r="G164" s="1">
        <v>25</v>
      </c>
      <c r="H164" s="1">
        <v>223</v>
      </c>
      <c r="I164" s="10">
        <f t="shared" si="7"/>
        <v>5575</v>
      </c>
      <c r="J164" s="1">
        <v>2000</v>
      </c>
      <c r="K164" s="1">
        <v>1500</v>
      </c>
      <c r="L164" s="1">
        <f t="shared" si="9"/>
        <v>2075</v>
      </c>
      <c r="M164" s="1"/>
      <c r="N164" s="1"/>
      <c r="O164" s="11">
        <f t="shared" si="8"/>
        <v>2075</v>
      </c>
      <c r="P164" s="40"/>
      <c r="Q164" s="69">
        <v>10</v>
      </c>
      <c r="R164" s="1"/>
      <c r="S164" s="1"/>
      <c r="T164" s="1"/>
    </row>
    <row r="165" spans="1:20">
      <c r="A165" s="4">
        <v>174</v>
      </c>
      <c r="B165" s="1" t="s">
        <v>321</v>
      </c>
      <c r="C165" s="1" t="s">
        <v>286</v>
      </c>
      <c r="D165" s="1" t="s">
        <v>287</v>
      </c>
      <c r="E165" s="1" t="s">
        <v>278</v>
      </c>
      <c r="F165" s="1"/>
      <c r="G165" s="1">
        <v>7</v>
      </c>
      <c r="H165" s="1">
        <v>380</v>
      </c>
      <c r="I165" s="10">
        <f t="shared" si="7"/>
        <v>2660</v>
      </c>
      <c r="J165" s="1">
        <v>5000</v>
      </c>
      <c r="K165" s="1">
        <v>1500</v>
      </c>
      <c r="L165" s="1">
        <f t="shared" si="9"/>
        <v>-3840</v>
      </c>
      <c r="M165" s="1"/>
      <c r="N165" s="1"/>
      <c r="O165" s="11">
        <f t="shared" si="8"/>
        <v>-3840</v>
      </c>
      <c r="P165" s="40"/>
      <c r="Q165" s="69" t="s">
        <v>525</v>
      </c>
      <c r="R165" s="1"/>
      <c r="S165" s="1"/>
      <c r="T165" s="1"/>
    </row>
    <row r="166" spans="1:20">
      <c r="A166" s="4">
        <v>173</v>
      </c>
      <c r="B166" s="1" t="s">
        <v>322</v>
      </c>
      <c r="C166" s="1" t="s">
        <v>286</v>
      </c>
      <c r="D166" s="1" t="s">
        <v>287</v>
      </c>
      <c r="E166" s="1" t="s">
        <v>278</v>
      </c>
      <c r="F166" s="1"/>
      <c r="G166" s="1">
        <v>18</v>
      </c>
      <c r="H166" s="1">
        <v>380</v>
      </c>
      <c r="I166" s="10">
        <f t="shared" si="7"/>
        <v>6840</v>
      </c>
      <c r="J166" s="1"/>
      <c r="K166" s="1"/>
      <c r="L166" s="1">
        <f t="shared" si="9"/>
        <v>6840</v>
      </c>
      <c r="M166" s="1"/>
      <c r="N166" s="1"/>
      <c r="O166" s="11">
        <f t="shared" si="8"/>
        <v>6840</v>
      </c>
      <c r="P166" s="40"/>
      <c r="Q166" s="69" t="s">
        <v>525</v>
      </c>
      <c r="R166" s="1"/>
      <c r="S166" s="1"/>
      <c r="T166" s="1"/>
    </row>
    <row r="167" spans="1:20">
      <c r="A167" s="4">
        <v>176</v>
      </c>
      <c r="B167" s="1" t="s">
        <v>323</v>
      </c>
      <c r="C167" s="1" t="s">
        <v>42</v>
      </c>
      <c r="D167" s="1" t="s">
        <v>23</v>
      </c>
      <c r="E167" s="1" t="s">
        <v>226</v>
      </c>
      <c r="F167" s="1"/>
      <c r="G167" s="1">
        <v>5</v>
      </c>
      <c r="H167" s="1">
        <v>325</v>
      </c>
      <c r="I167" s="10">
        <f t="shared" si="7"/>
        <v>1625</v>
      </c>
      <c r="J167" s="1"/>
      <c r="K167" s="1"/>
      <c r="L167" s="1">
        <f t="shared" si="9"/>
        <v>1625</v>
      </c>
      <c r="M167" s="1"/>
      <c r="N167" s="1"/>
      <c r="O167" s="11">
        <f t="shared" si="8"/>
        <v>1625</v>
      </c>
      <c r="P167" s="40"/>
      <c r="Q167" s="69">
        <v>6</v>
      </c>
      <c r="R167" s="1"/>
      <c r="S167" s="1"/>
      <c r="T167" s="1"/>
    </row>
    <row r="168" spans="1:20">
      <c r="A168" s="4">
        <v>175</v>
      </c>
      <c r="B168" s="1" t="s">
        <v>324</v>
      </c>
      <c r="C168" s="1" t="s">
        <v>42</v>
      </c>
      <c r="D168" s="1" t="s">
        <v>23</v>
      </c>
      <c r="E168" s="1" t="s">
        <v>226</v>
      </c>
      <c r="F168" s="1"/>
      <c r="G168" s="1">
        <v>20</v>
      </c>
      <c r="H168" s="1">
        <v>325</v>
      </c>
      <c r="I168" s="10">
        <f t="shared" si="7"/>
        <v>6500</v>
      </c>
      <c r="J168" s="1">
        <v>4000</v>
      </c>
      <c r="K168" s="1">
        <v>2000</v>
      </c>
      <c r="L168" s="1">
        <f t="shared" si="9"/>
        <v>500</v>
      </c>
      <c r="M168" s="1"/>
      <c r="N168" s="1"/>
      <c r="O168" s="11">
        <f t="shared" si="8"/>
        <v>500</v>
      </c>
      <c r="P168" s="40"/>
      <c r="Q168" s="69">
        <v>6</v>
      </c>
      <c r="R168" s="1"/>
      <c r="S168" s="1"/>
      <c r="T168" s="1"/>
    </row>
    <row r="169" spans="1:20">
      <c r="A169" s="4">
        <v>178</v>
      </c>
      <c r="B169" s="1" t="s">
        <v>325</v>
      </c>
      <c r="C169" s="1" t="s">
        <v>180</v>
      </c>
      <c r="D169" s="1" t="s">
        <v>326</v>
      </c>
      <c r="E169" s="1" t="s">
        <v>14</v>
      </c>
      <c r="F169" s="1" t="s">
        <v>529</v>
      </c>
      <c r="G169" s="1">
        <v>20</v>
      </c>
      <c r="H169" s="1">
        <v>535</v>
      </c>
      <c r="I169" s="10">
        <f t="shared" si="7"/>
        <v>10700</v>
      </c>
      <c r="J169" s="1">
        <v>10000</v>
      </c>
      <c r="K169" s="1">
        <v>3000</v>
      </c>
      <c r="L169" s="1">
        <f t="shared" si="9"/>
        <v>-2300</v>
      </c>
      <c r="M169" s="1"/>
      <c r="N169" s="1"/>
      <c r="O169" s="11">
        <f t="shared" si="8"/>
        <v>-2300</v>
      </c>
      <c r="P169" s="40"/>
      <c r="Q169" s="69" t="s">
        <v>527</v>
      </c>
      <c r="R169" s="1"/>
      <c r="S169" s="1"/>
      <c r="T169" s="1"/>
    </row>
    <row r="170" spans="1:20">
      <c r="A170" s="4">
        <v>179</v>
      </c>
      <c r="B170" s="1" t="s">
        <v>328</v>
      </c>
      <c r="C170" s="1" t="s">
        <v>180</v>
      </c>
      <c r="D170" s="1" t="s">
        <v>326</v>
      </c>
      <c r="E170" s="1" t="s">
        <v>14</v>
      </c>
      <c r="F170" s="1" t="s">
        <v>529</v>
      </c>
      <c r="G170" s="1">
        <v>5</v>
      </c>
      <c r="H170" s="1">
        <v>535</v>
      </c>
      <c r="I170" s="10">
        <f t="shared" si="7"/>
        <v>2675</v>
      </c>
      <c r="J170" s="1"/>
      <c r="K170" s="1"/>
      <c r="L170" s="1">
        <f t="shared" si="9"/>
        <v>2675</v>
      </c>
      <c r="M170" s="1"/>
      <c r="N170" s="1"/>
      <c r="O170" s="11">
        <f t="shared" si="8"/>
        <v>2675</v>
      </c>
      <c r="P170" s="40"/>
      <c r="Q170" s="69" t="s">
        <v>527</v>
      </c>
      <c r="R170" s="1"/>
      <c r="S170" s="1"/>
      <c r="T170" s="1"/>
    </row>
    <row r="171" spans="1:20">
      <c r="A171" s="4">
        <v>180</v>
      </c>
      <c r="B171" s="1" t="s">
        <v>329</v>
      </c>
      <c r="C171" s="1" t="s">
        <v>42</v>
      </c>
      <c r="D171" s="1" t="s">
        <v>88</v>
      </c>
      <c r="E171" s="1" t="s">
        <v>156</v>
      </c>
      <c r="F171" s="1"/>
      <c r="G171" s="1">
        <v>20</v>
      </c>
      <c r="H171" s="1">
        <v>490</v>
      </c>
      <c r="I171" s="10">
        <f t="shared" si="7"/>
        <v>9800</v>
      </c>
      <c r="J171" s="1">
        <v>6000</v>
      </c>
      <c r="K171" s="1">
        <v>1500</v>
      </c>
      <c r="L171" s="1">
        <f t="shared" si="9"/>
        <v>2300</v>
      </c>
      <c r="M171" s="1"/>
      <c r="N171" s="1"/>
      <c r="O171" s="11">
        <f t="shared" si="8"/>
        <v>2300</v>
      </c>
      <c r="P171" s="40" t="s">
        <v>497</v>
      </c>
      <c r="Q171" s="69" t="s">
        <v>524</v>
      </c>
      <c r="R171" s="1"/>
      <c r="S171" s="1"/>
      <c r="T171" s="1"/>
    </row>
    <row r="172" spans="1:20">
      <c r="A172" s="4">
        <v>181</v>
      </c>
      <c r="B172" s="1" t="s">
        <v>327</v>
      </c>
      <c r="C172" s="1" t="s">
        <v>42</v>
      </c>
      <c r="D172" s="1" t="s">
        <v>88</v>
      </c>
      <c r="E172" s="1" t="s">
        <v>156</v>
      </c>
      <c r="F172" s="1"/>
      <c r="G172" s="1">
        <v>5</v>
      </c>
      <c r="H172" s="1">
        <v>490</v>
      </c>
      <c r="I172" s="10">
        <f t="shared" si="7"/>
        <v>2450</v>
      </c>
      <c r="J172" s="1"/>
      <c r="K172" s="1"/>
      <c r="L172" s="1">
        <f t="shared" si="9"/>
        <v>2450</v>
      </c>
      <c r="M172" s="1"/>
      <c r="N172" s="1"/>
      <c r="O172" s="11">
        <f t="shared" si="8"/>
        <v>2450</v>
      </c>
      <c r="P172" s="40"/>
      <c r="Q172" s="69" t="s">
        <v>524</v>
      </c>
      <c r="R172" s="1"/>
      <c r="S172" s="1"/>
      <c r="T172" s="1"/>
    </row>
    <row r="173" spans="1:20">
      <c r="A173" s="4">
        <v>182</v>
      </c>
      <c r="B173" s="1" t="s">
        <v>331</v>
      </c>
      <c r="C173" s="1" t="s">
        <v>139</v>
      </c>
      <c r="D173" s="1" t="s">
        <v>137</v>
      </c>
      <c r="E173" s="1" t="s">
        <v>43</v>
      </c>
      <c r="F173" s="1" t="s">
        <v>530</v>
      </c>
      <c r="G173" s="1">
        <v>30</v>
      </c>
      <c r="H173" s="1">
        <v>486</v>
      </c>
      <c r="I173" s="10">
        <f t="shared" si="7"/>
        <v>14580</v>
      </c>
      <c r="J173" s="1">
        <v>5000</v>
      </c>
      <c r="K173" s="1">
        <v>3000</v>
      </c>
      <c r="L173" s="1">
        <f t="shared" si="9"/>
        <v>6580</v>
      </c>
      <c r="M173" s="1"/>
      <c r="N173" s="1"/>
      <c r="O173" s="11">
        <f t="shared" si="8"/>
        <v>6580</v>
      </c>
      <c r="P173" s="40"/>
      <c r="Q173" s="69" t="s">
        <v>524</v>
      </c>
      <c r="R173" s="1"/>
      <c r="S173" s="1"/>
      <c r="T173" s="1"/>
    </row>
    <row r="174" spans="1:20">
      <c r="A174" s="4">
        <v>183</v>
      </c>
      <c r="B174" s="1" t="s">
        <v>332</v>
      </c>
      <c r="C174" s="1" t="s">
        <v>34</v>
      </c>
      <c r="D174" s="1" t="s">
        <v>27</v>
      </c>
      <c r="E174" s="1" t="s">
        <v>9</v>
      </c>
      <c r="F174" s="1" t="s">
        <v>529</v>
      </c>
      <c r="G174" s="1">
        <v>13</v>
      </c>
      <c r="H174" s="1">
        <v>225</v>
      </c>
      <c r="I174" s="10">
        <f t="shared" si="7"/>
        <v>2925</v>
      </c>
      <c r="J174" s="1">
        <v>2000</v>
      </c>
      <c r="K174" s="1">
        <v>1000</v>
      </c>
      <c r="L174" s="1">
        <f t="shared" si="9"/>
        <v>-75</v>
      </c>
      <c r="M174" s="1"/>
      <c r="N174" s="1"/>
      <c r="O174" s="11">
        <f t="shared" si="8"/>
        <v>-75</v>
      </c>
      <c r="P174" s="40"/>
      <c r="Q174" s="69" t="s">
        <v>524</v>
      </c>
      <c r="R174" s="1"/>
      <c r="S174" s="1"/>
      <c r="T174" s="1"/>
    </row>
    <row r="175" spans="1:20">
      <c r="A175" s="4">
        <v>184</v>
      </c>
      <c r="B175" s="1" t="s">
        <v>333</v>
      </c>
      <c r="C175" s="1" t="s">
        <v>34</v>
      </c>
      <c r="D175" s="1" t="s">
        <v>169</v>
      </c>
      <c r="E175" s="1" t="s">
        <v>24</v>
      </c>
      <c r="F175" s="1" t="s">
        <v>529</v>
      </c>
      <c r="G175" s="1">
        <v>13</v>
      </c>
      <c r="H175" s="1">
        <v>454</v>
      </c>
      <c r="I175" s="10">
        <f t="shared" si="7"/>
        <v>5902</v>
      </c>
      <c r="J175" s="1">
        <v>2000</v>
      </c>
      <c r="K175" s="1">
        <v>1000</v>
      </c>
      <c r="L175" s="1">
        <f t="shared" si="9"/>
        <v>2902</v>
      </c>
      <c r="M175" s="1"/>
      <c r="N175" s="1"/>
      <c r="O175" s="11">
        <f t="shared" si="8"/>
        <v>2902</v>
      </c>
      <c r="P175" s="40"/>
      <c r="Q175" s="69" t="s">
        <v>524</v>
      </c>
      <c r="R175" s="1"/>
      <c r="S175" s="1"/>
      <c r="T175" s="1"/>
    </row>
    <row r="176" spans="1:20">
      <c r="A176" s="4">
        <v>185</v>
      </c>
      <c r="B176" s="1" t="s">
        <v>334</v>
      </c>
      <c r="C176" s="1" t="s">
        <v>335</v>
      </c>
      <c r="D176" s="1" t="s">
        <v>336</v>
      </c>
      <c r="E176" s="1" t="s">
        <v>114</v>
      </c>
      <c r="F176" s="1" t="s">
        <v>532</v>
      </c>
      <c r="G176" s="1">
        <v>20</v>
      </c>
      <c r="H176" s="1">
        <v>325</v>
      </c>
      <c r="I176" s="10">
        <f t="shared" si="7"/>
        <v>6500</v>
      </c>
      <c r="J176" s="1">
        <v>2000</v>
      </c>
      <c r="K176" s="1">
        <v>5000</v>
      </c>
      <c r="L176" s="1">
        <f t="shared" si="9"/>
        <v>-500</v>
      </c>
      <c r="M176" s="1">
        <v>500</v>
      </c>
      <c r="N176" s="1">
        <v>100</v>
      </c>
      <c r="O176" s="11">
        <f t="shared" si="8"/>
        <v>-1100</v>
      </c>
      <c r="P176" s="40"/>
      <c r="Q176" s="69">
        <v>11</v>
      </c>
      <c r="R176" s="1"/>
      <c r="S176" s="1"/>
      <c r="T176" s="1"/>
    </row>
    <row r="177" spans="1:20">
      <c r="A177" s="4">
        <v>186</v>
      </c>
      <c r="B177" s="1" t="s">
        <v>337</v>
      </c>
      <c r="C177" s="1" t="s">
        <v>338</v>
      </c>
      <c r="D177" s="1" t="s">
        <v>51</v>
      </c>
      <c r="E177" s="1" t="s">
        <v>114</v>
      </c>
      <c r="F177" s="1" t="s">
        <v>532</v>
      </c>
      <c r="G177" s="1">
        <v>5</v>
      </c>
      <c r="H177" s="1">
        <v>336</v>
      </c>
      <c r="I177" s="10">
        <f t="shared" si="7"/>
        <v>1680</v>
      </c>
      <c r="J177" s="1"/>
      <c r="K177" s="1"/>
      <c r="L177" s="1">
        <f t="shared" si="9"/>
        <v>1680</v>
      </c>
      <c r="M177" s="1"/>
      <c r="N177" s="1"/>
      <c r="O177" s="11">
        <f t="shared" si="8"/>
        <v>1680</v>
      </c>
      <c r="P177" s="40"/>
      <c r="Q177" s="69">
        <v>11</v>
      </c>
      <c r="R177" s="1"/>
      <c r="S177" s="1"/>
      <c r="T177" s="1"/>
    </row>
    <row r="178" spans="1:20">
      <c r="A178" s="4">
        <v>187</v>
      </c>
      <c r="B178" s="1" t="s">
        <v>339</v>
      </c>
      <c r="C178" s="1" t="s">
        <v>141</v>
      </c>
      <c r="D178" s="1" t="s">
        <v>340</v>
      </c>
      <c r="E178" s="1" t="s">
        <v>288</v>
      </c>
      <c r="F178" s="1"/>
      <c r="G178" s="1">
        <v>20</v>
      </c>
      <c r="H178" s="1">
        <v>379</v>
      </c>
      <c r="I178" s="10">
        <f t="shared" si="7"/>
        <v>7580</v>
      </c>
      <c r="J178" s="1"/>
      <c r="K178" s="1">
        <v>6000</v>
      </c>
      <c r="L178" s="1">
        <f t="shared" si="9"/>
        <v>1580</v>
      </c>
      <c r="M178" s="1"/>
      <c r="N178" s="1"/>
      <c r="O178" s="11">
        <f t="shared" si="8"/>
        <v>1580</v>
      </c>
      <c r="P178" s="40"/>
      <c r="Q178" s="69">
        <v>11</v>
      </c>
      <c r="R178" s="1"/>
      <c r="S178" s="1"/>
      <c r="T178" s="1"/>
    </row>
    <row r="179" spans="1:20">
      <c r="A179" s="4">
        <v>188</v>
      </c>
      <c r="B179" s="1" t="s">
        <v>341</v>
      </c>
      <c r="C179" s="1" t="s">
        <v>342</v>
      </c>
      <c r="D179" s="1" t="s">
        <v>51</v>
      </c>
      <c r="E179" s="1" t="s">
        <v>167</v>
      </c>
      <c r="F179" s="1"/>
      <c r="G179" s="1">
        <v>20</v>
      </c>
      <c r="H179" s="1">
        <v>333</v>
      </c>
      <c r="I179" s="10">
        <f t="shared" si="7"/>
        <v>6660</v>
      </c>
      <c r="J179" s="1">
        <v>3000</v>
      </c>
      <c r="K179" s="1">
        <v>1000</v>
      </c>
      <c r="L179" s="1">
        <f t="shared" si="9"/>
        <v>2660</v>
      </c>
      <c r="M179" s="1"/>
      <c r="N179" s="1"/>
      <c r="O179" s="11">
        <f t="shared" si="8"/>
        <v>2660</v>
      </c>
      <c r="P179" s="40"/>
      <c r="Q179" s="69">
        <v>11</v>
      </c>
      <c r="R179" s="1"/>
      <c r="S179" s="1"/>
      <c r="T179" s="1"/>
    </row>
    <row r="180" spans="1:20">
      <c r="A180" s="4">
        <v>189</v>
      </c>
      <c r="B180" s="1" t="s">
        <v>343</v>
      </c>
      <c r="C180" s="1" t="s">
        <v>122</v>
      </c>
      <c r="D180" s="1" t="s">
        <v>344</v>
      </c>
      <c r="E180" s="1" t="s">
        <v>304</v>
      </c>
      <c r="F180" s="1"/>
      <c r="G180" s="1">
        <v>7.5</v>
      </c>
      <c r="H180" s="1">
        <v>356</v>
      </c>
      <c r="I180" s="10">
        <f t="shared" si="7"/>
        <v>2670</v>
      </c>
      <c r="J180" s="1"/>
      <c r="K180" s="1">
        <v>6000</v>
      </c>
      <c r="L180" s="1">
        <f t="shared" si="9"/>
        <v>-3330</v>
      </c>
      <c r="M180" s="1"/>
      <c r="N180" s="1"/>
      <c r="O180" s="11">
        <f t="shared" si="8"/>
        <v>-3330</v>
      </c>
      <c r="P180" s="40"/>
      <c r="Q180" s="69">
        <v>10</v>
      </c>
      <c r="R180" s="1"/>
      <c r="S180" s="1"/>
      <c r="T180" s="1"/>
    </row>
    <row r="181" spans="1:20">
      <c r="A181" s="4">
        <v>190</v>
      </c>
      <c r="B181" s="1" t="s">
        <v>345</v>
      </c>
      <c r="C181" s="1" t="s">
        <v>122</v>
      </c>
      <c r="D181" s="1" t="s">
        <v>123</v>
      </c>
      <c r="E181" s="1" t="s">
        <v>304</v>
      </c>
      <c r="F181" s="1"/>
      <c r="G181" s="1">
        <v>17.5</v>
      </c>
      <c r="H181" s="1">
        <v>356</v>
      </c>
      <c r="I181" s="10">
        <f t="shared" si="7"/>
        <v>6230</v>
      </c>
      <c r="J181" s="1"/>
      <c r="K181" s="1"/>
      <c r="L181" s="1">
        <f t="shared" si="9"/>
        <v>6230</v>
      </c>
      <c r="M181" s="1"/>
      <c r="N181" s="1"/>
      <c r="O181" s="11">
        <f t="shared" si="8"/>
        <v>6230</v>
      </c>
      <c r="P181" s="40"/>
      <c r="Q181" s="69">
        <v>10</v>
      </c>
      <c r="R181" s="1"/>
      <c r="S181" s="1"/>
      <c r="T181" s="1"/>
    </row>
    <row r="182" spans="1:20">
      <c r="A182" s="4">
        <v>191</v>
      </c>
      <c r="B182" s="1" t="s">
        <v>346</v>
      </c>
      <c r="C182" s="1" t="s">
        <v>34</v>
      </c>
      <c r="D182" s="1" t="s">
        <v>347</v>
      </c>
      <c r="E182" s="1" t="s">
        <v>9</v>
      </c>
      <c r="F182" s="1" t="s">
        <v>529</v>
      </c>
      <c r="G182" s="1">
        <v>13</v>
      </c>
      <c r="H182" s="1">
        <v>368</v>
      </c>
      <c r="I182" s="10">
        <f t="shared" si="7"/>
        <v>4784</v>
      </c>
      <c r="J182" s="1">
        <v>2000</v>
      </c>
      <c r="K182" s="1">
        <v>1000</v>
      </c>
      <c r="L182" s="1">
        <f t="shared" si="9"/>
        <v>1784</v>
      </c>
      <c r="M182" s="1"/>
      <c r="N182" s="1"/>
      <c r="O182" s="11">
        <f t="shared" si="8"/>
        <v>1784</v>
      </c>
      <c r="P182" s="40"/>
      <c r="Q182" s="69" t="s">
        <v>524</v>
      </c>
      <c r="R182" s="1"/>
      <c r="S182" s="1"/>
      <c r="T182" s="1"/>
    </row>
    <row r="183" spans="1:20">
      <c r="A183" s="4">
        <v>193</v>
      </c>
      <c r="B183" s="1" t="s">
        <v>330</v>
      </c>
      <c r="C183" s="1" t="s">
        <v>348</v>
      </c>
      <c r="D183" s="1" t="s">
        <v>349</v>
      </c>
      <c r="E183" s="1" t="s">
        <v>278</v>
      </c>
      <c r="F183" s="1"/>
      <c r="G183" s="1">
        <v>10</v>
      </c>
      <c r="H183" s="1">
        <v>475</v>
      </c>
      <c r="I183" s="10">
        <f t="shared" si="7"/>
        <v>4750</v>
      </c>
      <c r="J183" s="1"/>
      <c r="K183" s="1"/>
      <c r="L183" s="1">
        <f t="shared" si="9"/>
        <v>4750</v>
      </c>
      <c r="M183" s="1"/>
      <c r="N183" s="1"/>
      <c r="O183" s="11">
        <f t="shared" si="8"/>
        <v>4750</v>
      </c>
      <c r="P183" s="40" t="s">
        <v>497</v>
      </c>
      <c r="Q183" s="69"/>
      <c r="R183" s="1"/>
      <c r="S183" s="1"/>
      <c r="T183" s="1"/>
    </row>
    <row r="184" spans="1:20">
      <c r="A184" s="4">
        <v>192</v>
      </c>
      <c r="B184" s="1" t="s">
        <v>350</v>
      </c>
      <c r="C184" s="1" t="s">
        <v>348</v>
      </c>
      <c r="D184" s="1" t="s">
        <v>349</v>
      </c>
      <c r="E184" s="1" t="s">
        <v>278</v>
      </c>
      <c r="F184" s="1"/>
      <c r="G184" s="1">
        <v>15</v>
      </c>
      <c r="H184" s="1">
        <v>475</v>
      </c>
      <c r="I184" s="10">
        <f t="shared" si="7"/>
        <v>7125</v>
      </c>
      <c r="J184" s="1">
        <v>6000</v>
      </c>
      <c r="K184" s="1">
        <v>1500</v>
      </c>
      <c r="L184" s="1">
        <f t="shared" si="9"/>
        <v>-375</v>
      </c>
      <c r="M184" s="1"/>
      <c r="N184" s="1"/>
      <c r="O184" s="11">
        <f t="shared" si="8"/>
        <v>-375</v>
      </c>
      <c r="P184" s="40" t="s">
        <v>497</v>
      </c>
      <c r="Q184" s="69"/>
      <c r="R184" s="1"/>
      <c r="S184" s="1"/>
      <c r="T184" s="1"/>
    </row>
    <row r="185" spans="1:20">
      <c r="A185" s="4">
        <v>194</v>
      </c>
      <c r="B185" s="1" t="s">
        <v>351</v>
      </c>
      <c r="C185" s="1" t="s">
        <v>177</v>
      </c>
      <c r="D185" s="1" t="s">
        <v>178</v>
      </c>
      <c r="E185" s="1" t="s">
        <v>292</v>
      </c>
      <c r="F185" s="1"/>
      <c r="G185" s="1">
        <v>25</v>
      </c>
      <c r="H185" s="1">
        <v>431</v>
      </c>
      <c r="I185" s="10">
        <f t="shared" si="7"/>
        <v>10775</v>
      </c>
      <c r="J185" s="1">
        <v>6000</v>
      </c>
      <c r="K185" s="1">
        <v>1500</v>
      </c>
      <c r="L185" s="1">
        <f t="shared" si="9"/>
        <v>3275</v>
      </c>
      <c r="M185" s="1"/>
      <c r="N185" s="1"/>
      <c r="O185" s="11">
        <f t="shared" si="8"/>
        <v>3275</v>
      </c>
      <c r="P185" s="40"/>
      <c r="Q185" s="69" t="s">
        <v>525</v>
      </c>
      <c r="R185" s="1"/>
      <c r="S185" s="1"/>
      <c r="T185" s="1"/>
    </row>
    <row r="186" spans="1:20">
      <c r="A186" s="4">
        <v>195</v>
      </c>
      <c r="B186" s="1" t="s">
        <v>352</v>
      </c>
      <c r="C186" s="1" t="s">
        <v>353</v>
      </c>
      <c r="D186" s="1" t="s">
        <v>23</v>
      </c>
      <c r="E186" s="1" t="s">
        <v>19</v>
      </c>
      <c r="F186" s="1" t="s">
        <v>529</v>
      </c>
      <c r="G186" s="1">
        <v>13</v>
      </c>
      <c r="H186" s="1">
        <v>445</v>
      </c>
      <c r="I186" s="10">
        <f t="shared" si="7"/>
        <v>5785</v>
      </c>
      <c r="J186" s="1"/>
      <c r="K186" s="1"/>
      <c r="L186" s="1">
        <f t="shared" si="9"/>
        <v>5785</v>
      </c>
      <c r="M186" s="1"/>
      <c r="N186" s="1"/>
      <c r="O186" s="11">
        <f t="shared" si="8"/>
        <v>5785</v>
      </c>
      <c r="P186" s="40" t="s">
        <v>497</v>
      </c>
      <c r="Q186" s="69"/>
      <c r="R186" s="1"/>
      <c r="S186" s="1"/>
      <c r="T186" s="1"/>
    </row>
    <row r="187" spans="1:20">
      <c r="A187" s="4">
        <v>196</v>
      </c>
      <c r="B187" s="1" t="s">
        <v>354</v>
      </c>
      <c r="C187" s="1" t="s">
        <v>355</v>
      </c>
      <c r="D187" s="1" t="s">
        <v>51</v>
      </c>
      <c r="E187" s="1" t="s">
        <v>14</v>
      </c>
      <c r="F187" s="1" t="s">
        <v>529</v>
      </c>
      <c r="G187" s="1">
        <v>25</v>
      </c>
      <c r="H187" s="1">
        <v>336</v>
      </c>
      <c r="I187" s="10">
        <f t="shared" si="7"/>
        <v>8400</v>
      </c>
      <c r="J187" s="1"/>
      <c r="K187" s="1"/>
      <c r="L187" s="1">
        <f t="shared" si="9"/>
        <v>8400</v>
      </c>
      <c r="M187" s="1"/>
      <c r="N187" s="1"/>
      <c r="O187" s="11">
        <f t="shared" si="8"/>
        <v>8400</v>
      </c>
      <c r="P187" s="40" t="s">
        <v>497</v>
      </c>
      <c r="Q187" s="69">
        <v>11</v>
      </c>
      <c r="R187" s="1"/>
      <c r="S187" s="1"/>
      <c r="T187" s="1"/>
    </row>
    <row r="188" spans="1:20">
      <c r="A188" s="4">
        <v>197</v>
      </c>
      <c r="B188" s="1" t="s">
        <v>356</v>
      </c>
      <c r="C188" s="1" t="s">
        <v>357</v>
      </c>
      <c r="D188" s="1" t="s">
        <v>51</v>
      </c>
      <c r="E188" s="1" t="s">
        <v>226</v>
      </c>
      <c r="F188" s="1"/>
      <c r="G188" s="1">
        <v>25</v>
      </c>
      <c r="H188" s="1">
        <v>304</v>
      </c>
      <c r="I188" s="10">
        <f t="shared" si="7"/>
        <v>7600</v>
      </c>
      <c r="J188" s="1"/>
      <c r="K188" s="1"/>
      <c r="L188" s="1">
        <f t="shared" si="9"/>
        <v>7600</v>
      </c>
      <c r="M188" s="1"/>
      <c r="N188" s="1"/>
      <c r="O188" s="11">
        <f t="shared" si="8"/>
        <v>7600</v>
      </c>
      <c r="P188" s="40"/>
      <c r="Q188" s="69" t="s">
        <v>524</v>
      </c>
      <c r="R188" s="1"/>
      <c r="S188" s="1"/>
      <c r="T188" s="1"/>
    </row>
    <row r="189" spans="1:20">
      <c r="A189" s="4">
        <v>198</v>
      </c>
      <c r="B189" s="1" t="s">
        <v>358</v>
      </c>
      <c r="C189" s="1" t="s">
        <v>148</v>
      </c>
      <c r="D189" s="1" t="s">
        <v>359</v>
      </c>
      <c r="E189" s="1" t="s">
        <v>224</v>
      </c>
      <c r="F189" s="1"/>
      <c r="G189" s="1">
        <v>20</v>
      </c>
      <c r="H189" s="1">
        <v>269</v>
      </c>
      <c r="I189" s="10">
        <f t="shared" si="7"/>
        <v>5380</v>
      </c>
      <c r="J189" s="1"/>
      <c r="K189" s="1"/>
      <c r="L189" s="1">
        <f t="shared" si="9"/>
        <v>5380</v>
      </c>
      <c r="M189" s="1"/>
      <c r="N189" s="1"/>
      <c r="O189" s="11">
        <f t="shared" si="8"/>
        <v>5380</v>
      </c>
      <c r="P189" s="40"/>
      <c r="Q189" s="69">
        <v>10</v>
      </c>
      <c r="R189" s="1"/>
      <c r="S189" s="1"/>
      <c r="T189" s="1"/>
    </row>
    <row r="190" spans="1:20">
      <c r="A190" s="4">
        <v>199</v>
      </c>
      <c r="B190" s="1" t="s">
        <v>360</v>
      </c>
      <c r="C190" s="1" t="s">
        <v>7</v>
      </c>
      <c r="D190" s="1" t="s">
        <v>8</v>
      </c>
      <c r="E190" s="1" t="s">
        <v>24</v>
      </c>
      <c r="F190" s="1" t="s">
        <v>529</v>
      </c>
      <c r="G190" s="1">
        <v>13</v>
      </c>
      <c r="H190" s="1">
        <v>448</v>
      </c>
      <c r="I190" s="10">
        <f t="shared" si="7"/>
        <v>5824</v>
      </c>
      <c r="J190" s="1"/>
      <c r="K190" s="1"/>
      <c r="L190" s="1">
        <f t="shared" si="9"/>
        <v>5824</v>
      </c>
      <c r="M190" s="1"/>
      <c r="N190" s="1"/>
      <c r="O190" s="11">
        <f t="shared" si="8"/>
        <v>5824</v>
      </c>
      <c r="P190" s="40"/>
      <c r="Q190" s="69" t="s">
        <v>524</v>
      </c>
      <c r="R190" s="1"/>
      <c r="S190" s="1"/>
      <c r="T190" s="1"/>
    </row>
    <row r="191" spans="1:20">
      <c r="A191" s="4">
        <v>200</v>
      </c>
      <c r="B191" s="1" t="s">
        <v>361</v>
      </c>
      <c r="C191" s="1" t="s">
        <v>362</v>
      </c>
      <c r="D191" s="1" t="s">
        <v>363</v>
      </c>
      <c r="E191" s="1" t="s">
        <v>127</v>
      </c>
      <c r="F191" s="1"/>
      <c r="G191" s="1">
        <v>20</v>
      </c>
      <c r="H191" s="1">
        <v>438</v>
      </c>
      <c r="I191" s="10">
        <f t="shared" si="7"/>
        <v>8760</v>
      </c>
      <c r="J191" s="1"/>
      <c r="K191" s="1"/>
      <c r="L191" s="1">
        <f t="shared" si="9"/>
        <v>8760</v>
      </c>
      <c r="M191" s="1"/>
      <c r="N191" s="1"/>
      <c r="O191" s="11">
        <f t="shared" si="8"/>
        <v>8760</v>
      </c>
      <c r="P191" s="40"/>
      <c r="Q191" s="69" t="s">
        <v>525</v>
      </c>
      <c r="R191" s="1"/>
      <c r="S191" s="1"/>
      <c r="T191" s="1"/>
    </row>
    <row r="192" spans="1:20">
      <c r="A192" s="4">
        <v>201</v>
      </c>
      <c r="B192" s="1" t="s">
        <v>364</v>
      </c>
      <c r="C192" s="1" t="s">
        <v>365</v>
      </c>
      <c r="D192" s="1" t="s">
        <v>363</v>
      </c>
      <c r="E192" s="1" t="s">
        <v>127</v>
      </c>
      <c r="F192" s="1"/>
      <c r="G192" s="1">
        <v>10</v>
      </c>
      <c r="H192" s="1">
        <v>438</v>
      </c>
      <c r="I192" s="10">
        <f t="shared" si="7"/>
        <v>4380</v>
      </c>
      <c r="J192" s="1"/>
      <c r="K192" s="1"/>
      <c r="L192" s="1">
        <f t="shared" si="9"/>
        <v>4380</v>
      </c>
      <c r="M192" s="1"/>
      <c r="N192" s="1"/>
      <c r="O192" s="11">
        <f t="shared" si="8"/>
        <v>4380</v>
      </c>
      <c r="P192" s="40"/>
      <c r="Q192" s="69"/>
      <c r="R192" s="1"/>
      <c r="S192" s="1"/>
      <c r="T192" s="1"/>
    </row>
    <row r="193" spans="1:20">
      <c r="A193" s="4">
        <v>202</v>
      </c>
      <c r="B193" s="1" t="s">
        <v>366</v>
      </c>
      <c r="C193" s="1" t="s">
        <v>180</v>
      </c>
      <c r="D193" s="1" t="s">
        <v>367</v>
      </c>
      <c r="E193" s="1" t="s">
        <v>288</v>
      </c>
      <c r="F193" s="1"/>
      <c r="G193" s="1">
        <v>20</v>
      </c>
      <c r="H193" s="1">
        <v>349</v>
      </c>
      <c r="I193" s="10">
        <f t="shared" si="7"/>
        <v>6980</v>
      </c>
      <c r="J193" s="1"/>
      <c r="K193" s="1"/>
      <c r="L193" s="1">
        <f t="shared" si="9"/>
        <v>6980</v>
      </c>
      <c r="M193" s="1"/>
      <c r="N193" s="1"/>
      <c r="O193" s="11">
        <f t="shared" si="8"/>
        <v>6980</v>
      </c>
      <c r="P193" s="40"/>
      <c r="Q193" s="69" t="s">
        <v>524</v>
      </c>
      <c r="R193" s="1"/>
      <c r="S193" s="1"/>
      <c r="T193" s="1"/>
    </row>
    <row r="194" spans="1:20">
      <c r="A194" s="4">
        <v>203</v>
      </c>
      <c r="B194" s="1" t="s">
        <v>368</v>
      </c>
      <c r="C194" s="1" t="s">
        <v>369</v>
      </c>
      <c r="D194" s="1" t="s">
        <v>370</v>
      </c>
      <c r="E194" s="1" t="s">
        <v>167</v>
      </c>
      <c r="F194" s="1"/>
      <c r="G194" s="1">
        <v>20</v>
      </c>
      <c r="H194" s="1">
        <v>485</v>
      </c>
      <c r="I194" s="10">
        <f t="shared" si="7"/>
        <v>9700</v>
      </c>
      <c r="J194" s="1"/>
      <c r="K194" s="1"/>
      <c r="L194" s="1">
        <f t="shared" si="9"/>
        <v>9700</v>
      </c>
      <c r="M194" s="1"/>
      <c r="N194" s="1"/>
      <c r="O194" s="11">
        <f t="shared" si="8"/>
        <v>9700</v>
      </c>
      <c r="P194" s="40"/>
      <c r="Q194" s="69">
        <v>11</v>
      </c>
      <c r="R194" s="1"/>
      <c r="S194" s="1"/>
      <c r="T194" s="1"/>
    </row>
    <row r="195" spans="1:20">
      <c r="A195" s="4">
        <v>204</v>
      </c>
      <c r="B195" s="1" t="s">
        <v>371</v>
      </c>
      <c r="C195" s="1" t="s">
        <v>112</v>
      </c>
      <c r="D195" s="1" t="s">
        <v>116</v>
      </c>
      <c r="E195" s="1" t="s">
        <v>77</v>
      </c>
      <c r="F195" s="1" t="s">
        <v>530</v>
      </c>
      <c r="G195" s="1">
        <v>30</v>
      </c>
      <c r="H195" s="1">
        <v>336</v>
      </c>
      <c r="I195" s="10">
        <f t="shared" si="7"/>
        <v>10080</v>
      </c>
      <c r="J195" s="1"/>
      <c r="K195" s="1"/>
      <c r="L195" s="1">
        <f t="shared" si="9"/>
        <v>10080</v>
      </c>
      <c r="M195" s="1"/>
      <c r="N195" s="1"/>
      <c r="O195" s="11">
        <f t="shared" si="8"/>
        <v>10080</v>
      </c>
      <c r="P195" s="40"/>
      <c r="Q195" s="69" t="s">
        <v>524</v>
      </c>
      <c r="R195" s="1"/>
      <c r="S195" s="1"/>
      <c r="T195" s="1"/>
    </row>
    <row r="196" spans="1:20">
      <c r="A196" s="4">
        <v>205</v>
      </c>
      <c r="B196" s="1" t="s">
        <v>372</v>
      </c>
      <c r="C196" s="1" t="s">
        <v>295</v>
      </c>
      <c r="D196" s="1" t="s">
        <v>373</v>
      </c>
      <c r="E196" s="1" t="s">
        <v>304</v>
      </c>
      <c r="F196" s="1"/>
      <c r="G196" s="1">
        <v>12.5</v>
      </c>
      <c r="H196" s="1">
        <v>335</v>
      </c>
      <c r="I196" s="10">
        <f t="shared" ref="I196:I261" si="10">H196*G196</f>
        <v>4187.5</v>
      </c>
      <c r="J196" s="1"/>
      <c r="K196" s="1"/>
      <c r="L196" s="1">
        <f t="shared" si="9"/>
        <v>4187.5</v>
      </c>
      <c r="M196" s="1"/>
      <c r="N196" s="1"/>
      <c r="O196" s="11">
        <f t="shared" ref="O196:O261" si="11">L196-M196-N196</f>
        <v>4187.5</v>
      </c>
      <c r="P196" s="40"/>
      <c r="Q196" s="69">
        <v>10</v>
      </c>
      <c r="R196" s="1"/>
      <c r="S196" s="1"/>
      <c r="T196" s="1"/>
    </row>
    <row r="197" spans="1:20">
      <c r="A197" s="4">
        <v>206</v>
      </c>
      <c r="B197" s="1" t="s">
        <v>372</v>
      </c>
      <c r="C197" s="1" t="s">
        <v>295</v>
      </c>
      <c r="D197" s="1" t="s">
        <v>373</v>
      </c>
      <c r="E197" s="1" t="s">
        <v>304</v>
      </c>
      <c r="F197" s="1"/>
      <c r="G197" s="1">
        <v>12.5</v>
      </c>
      <c r="H197" s="1">
        <v>335</v>
      </c>
      <c r="I197" s="10">
        <f t="shared" si="10"/>
        <v>4187.5</v>
      </c>
      <c r="J197" s="1"/>
      <c r="K197" s="1"/>
      <c r="L197" s="1">
        <f t="shared" si="9"/>
        <v>4187.5</v>
      </c>
      <c r="M197" s="1"/>
      <c r="N197" s="1"/>
      <c r="O197" s="11">
        <f t="shared" si="11"/>
        <v>4187.5</v>
      </c>
      <c r="P197" s="40"/>
      <c r="Q197" s="69">
        <v>10</v>
      </c>
      <c r="R197" s="1"/>
      <c r="S197" s="1"/>
      <c r="T197" s="1"/>
    </row>
    <row r="198" spans="1:20">
      <c r="A198" s="4">
        <v>207</v>
      </c>
      <c r="B198" s="1" t="s">
        <v>374</v>
      </c>
      <c r="C198" s="1" t="s">
        <v>375</v>
      </c>
      <c r="D198" s="1" t="s">
        <v>51</v>
      </c>
      <c r="E198" s="1" t="s">
        <v>156</v>
      </c>
      <c r="F198" s="1"/>
      <c r="G198" s="1">
        <v>25</v>
      </c>
      <c r="H198" s="1">
        <v>304</v>
      </c>
      <c r="I198" s="10">
        <f t="shared" si="10"/>
        <v>7600</v>
      </c>
      <c r="J198" s="1"/>
      <c r="K198" s="1"/>
      <c r="L198" s="1">
        <f t="shared" ref="L198:L263" si="12">I198-J198-K198</f>
        <v>7600</v>
      </c>
      <c r="M198" s="1"/>
      <c r="N198" s="1"/>
      <c r="O198" s="11">
        <f t="shared" si="11"/>
        <v>7600</v>
      </c>
      <c r="P198" s="40"/>
      <c r="Q198" s="69">
        <v>11</v>
      </c>
      <c r="R198" s="1"/>
      <c r="S198" s="1"/>
      <c r="T198" s="1"/>
    </row>
    <row r="199" spans="1:20">
      <c r="A199" s="4">
        <v>208</v>
      </c>
      <c r="B199" s="1" t="s">
        <v>376</v>
      </c>
      <c r="C199" s="1" t="s">
        <v>377</v>
      </c>
      <c r="D199" s="1" t="s">
        <v>378</v>
      </c>
      <c r="E199" s="1" t="s">
        <v>226</v>
      </c>
      <c r="F199" s="1"/>
      <c r="G199" s="1">
        <v>25</v>
      </c>
      <c r="H199" s="1">
        <v>374</v>
      </c>
      <c r="I199" s="10">
        <f t="shared" si="10"/>
        <v>9350</v>
      </c>
      <c r="J199" s="1"/>
      <c r="K199" s="1"/>
      <c r="L199" s="1">
        <f t="shared" si="12"/>
        <v>9350</v>
      </c>
      <c r="M199" s="1"/>
      <c r="N199" s="1"/>
      <c r="O199" s="11">
        <f t="shared" si="11"/>
        <v>9350</v>
      </c>
      <c r="P199" s="40"/>
      <c r="Q199" s="69">
        <v>11</v>
      </c>
      <c r="R199" s="1"/>
      <c r="S199" s="1"/>
      <c r="T199" s="1"/>
    </row>
    <row r="200" spans="1:20">
      <c r="A200" s="4">
        <v>209</v>
      </c>
      <c r="B200" s="1" t="s">
        <v>379</v>
      </c>
      <c r="C200" s="1" t="s">
        <v>177</v>
      </c>
      <c r="D200" s="1" t="s">
        <v>380</v>
      </c>
      <c r="E200" s="1" t="s">
        <v>14</v>
      </c>
      <c r="F200" s="1" t="s">
        <v>529</v>
      </c>
      <c r="G200" s="1">
        <v>25</v>
      </c>
      <c r="H200" s="1">
        <v>566</v>
      </c>
      <c r="I200" s="10">
        <f t="shared" si="10"/>
        <v>14150</v>
      </c>
      <c r="J200" s="1"/>
      <c r="K200" s="1"/>
      <c r="L200" s="1">
        <f t="shared" si="12"/>
        <v>14150</v>
      </c>
      <c r="M200" s="1"/>
      <c r="N200" s="1"/>
      <c r="O200" s="11">
        <f t="shared" si="11"/>
        <v>14150</v>
      </c>
      <c r="P200" s="40"/>
      <c r="Q200" s="69">
        <v>11</v>
      </c>
      <c r="R200" s="1"/>
      <c r="S200" s="1"/>
      <c r="T200" s="1"/>
    </row>
    <row r="201" spans="1:20">
      <c r="A201" s="4">
        <v>210</v>
      </c>
      <c r="B201" s="1" t="s">
        <v>381</v>
      </c>
      <c r="C201" s="1" t="s">
        <v>42</v>
      </c>
      <c r="D201" s="1" t="s">
        <v>88</v>
      </c>
      <c r="E201" s="1" t="s">
        <v>278</v>
      </c>
      <c r="F201" s="1"/>
      <c r="G201" s="1">
        <v>25</v>
      </c>
      <c r="H201" s="1">
        <v>468</v>
      </c>
      <c r="I201" s="10">
        <f t="shared" si="10"/>
        <v>11700</v>
      </c>
      <c r="J201" s="1"/>
      <c r="K201" s="1"/>
      <c r="L201" s="1">
        <f t="shared" si="12"/>
        <v>11700</v>
      </c>
      <c r="M201" s="1"/>
      <c r="N201" s="1"/>
      <c r="O201" s="11">
        <f t="shared" si="11"/>
        <v>11700</v>
      </c>
      <c r="P201" s="40" t="s">
        <v>497</v>
      </c>
      <c r="Q201" s="69" t="s">
        <v>525</v>
      </c>
      <c r="R201" s="1"/>
      <c r="S201" s="1"/>
      <c r="T201" s="1"/>
    </row>
    <row r="202" spans="1:20">
      <c r="A202" s="4">
        <v>211</v>
      </c>
      <c r="B202" s="1" t="s">
        <v>382</v>
      </c>
      <c r="C202" s="1" t="s">
        <v>17</v>
      </c>
      <c r="D202" s="1" t="s">
        <v>70</v>
      </c>
      <c r="E202" s="1" t="s">
        <v>114</v>
      </c>
      <c r="F202" s="1" t="s">
        <v>532</v>
      </c>
      <c r="G202" s="1">
        <v>25</v>
      </c>
      <c r="H202" s="1">
        <v>363</v>
      </c>
      <c r="I202" s="10">
        <f t="shared" si="10"/>
        <v>9075</v>
      </c>
      <c r="J202" s="1"/>
      <c r="K202" s="1"/>
      <c r="L202" s="1">
        <f t="shared" si="12"/>
        <v>9075</v>
      </c>
      <c r="M202" s="1">
        <v>500</v>
      </c>
      <c r="N202" s="1">
        <v>100</v>
      </c>
      <c r="O202" s="11">
        <f t="shared" si="11"/>
        <v>8475</v>
      </c>
      <c r="P202" s="40"/>
      <c r="Q202" s="69">
        <v>11</v>
      </c>
      <c r="R202" s="27">
        <v>46192</v>
      </c>
      <c r="S202" s="1">
        <v>5000</v>
      </c>
      <c r="T202" s="1" t="s">
        <v>493</v>
      </c>
    </row>
    <row r="203" spans="1:20">
      <c r="A203" s="4">
        <v>212</v>
      </c>
      <c r="B203" s="1" t="s">
        <v>383</v>
      </c>
      <c r="C203" s="1" t="s">
        <v>384</v>
      </c>
      <c r="D203" s="1" t="s">
        <v>23</v>
      </c>
      <c r="E203" s="1" t="s">
        <v>9</v>
      </c>
      <c r="F203" s="1" t="s">
        <v>529</v>
      </c>
      <c r="G203" s="1">
        <v>13</v>
      </c>
      <c r="H203" s="1">
        <v>443</v>
      </c>
      <c r="I203" s="10">
        <f t="shared" si="10"/>
        <v>5759</v>
      </c>
      <c r="J203" s="1">
        <v>2000</v>
      </c>
      <c r="K203" s="1">
        <v>1000</v>
      </c>
      <c r="L203" s="1">
        <f t="shared" si="12"/>
        <v>2759</v>
      </c>
      <c r="M203" s="1"/>
      <c r="N203" s="1"/>
      <c r="O203" s="11">
        <f t="shared" si="11"/>
        <v>2759</v>
      </c>
      <c r="P203" s="40"/>
      <c r="Q203" s="69" t="s">
        <v>524</v>
      </c>
      <c r="R203" s="1"/>
      <c r="S203" s="1"/>
      <c r="T203" s="1"/>
    </row>
    <row r="204" spans="1:20">
      <c r="A204" s="4">
        <v>213</v>
      </c>
      <c r="B204" s="1" t="s">
        <v>385</v>
      </c>
      <c r="C204" s="1" t="s">
        <v>7</v>
      </c>
      <c r="D204" s="1" t="s">
        <v>386</v>
      </c>
      <c r="E204" s="1" t="s">
        <v>19</v>
      </c>
      <c r="F204" s="1" t="s">
        <v>529</v>
      </c>
      <c r="G204" s="1">
        <v>13</v>
      </c>
      <c r="H204" s="1">
        <v>319</v>
      </c>
      <c r="I204" s="10">
        <f t="shared" si="10"/>
        <v>4147</v>
      </c>
      <c r="J204" s="1">
        <v>2000</v>
      </c>
      <c r="K204" s="1">
        <v>1000</v>
      </c>
      <c r="L204" s="1">
        <f t="shared" si="12"/>
        <v>1147</v>
      </c>
      <c r="M204" s="1"/>
      <c r="N204" s="1"/>
      <c r="O204" s="11">
        <f t="shared" si="11"/>
        <v>1147</v>
      </c>
      <c r="P204" s="40"/>
      <c r="Q204" s="69" t="s">
        <v>524</v>
      </c>
      <c r="R204" s="1"/>
      <c r="S204" s="1"/>
      <c r="T204" s="1"/>
    </row>
    <row r="205" spans="1:20">
      <c r="A205" s="4">
        <v>214</v>
      </c>
      <c r="B205" s="1" t="s">
        <v>387</v>
      </c>
      <c r="C205" s="1" t="s">
        <v>269</v>
      </c>
      <c r="D205" s="1" t="s">
        <v>169</v>
      </c>
      <c r="E205" s="1" t="s">
        <v>24</v>
      </c>
      <c r="F205" s="1" t="s">
        <v>529</v>
      </c>
      <c r="G205" s="1">
        <v>13</v>
      </c>
      <c r="H205" s="1">
        <v>437</v>
      </c>
      <c r="I205" s="10">
        <f t="shared" si="10"/>
        <v>5681</v>
      </c>
      <c r="J205" s="1">
        <v>2000</v>
      </c>
      <c r="K205" s="1">
        <v>1000</v>
      </c>
      <c r="L205" s="1">
        <f t="shared" si="12"/>
        <v>2681</v>
      </c>
      <c r="M205" s="1"/>
      <c r="N205" s="1"/>
      <c r="O205" s="11">
        <f t="shared" si="11"/>
        <v>2681</v>
      </c>
      <c r="P205" s="40"/>
      <c r="Q205" s="69">
        <v>11</v>
      </c>
      <c r="R205" s="1"/>
      <c r="S205" s="1"/>
      <c r="T205" s="1"/>
    </row>
    <row r="206" spans="1:20">
      <c r="A206" s="4">
        <v>216</v>
      </c>
      <c r="B206" s="1" t="s">
        <v>388</v>
      </c>
      <c r="C206" s="1" t="s">
        <v>389</v>
      </c>
      <c r="D206" s="1" t="s">
        <v>390</v>
      </c>
      <c r="E206" s="1" t="s">
        <v>224</v>
      </c>
      <c r="F206" s="1"/>
      <c r="G206" s="1">
        <v>25</v>
      </c>
      <c r="H206" s="1">
        <v>252</v>
      </c>
      <c r="I206" s="10">
        <f t="shared" si="10"/>
        <v>6300</v>
      </c>
      <c r="J206" s="1"/>
      <c r="K206" s="1">
        <v>4000</v>
      </c>
      <c r="L206" s="1">
        <f t="shared" si="12"/>
        <v>2300</v>
      </c>
      <c r="M206" s="1"/>
      <c r="N206" s="1"/>
      <c r="O206" s="11">
        <f t="shared" si="11"/>
        <v>2300</v>
      </c>
      <c r="P206" s="40"/>
      <c r="Q206" s="69">
        <v>10</v>
      </c>
      <c r="R206" s="1"/>
      <c r="S206" s="1"/>
      <c r="T206" s="1"/>
    </row>
    <row r="207" spans="1:20">
      <c r="A207" s="4">
        <v>217</v>
      </c>
      <c r="B207" s="1" t="s">
        <v>391</v>
      </c>
      <c r="C207" s="1" t="s">
        <v>165</v>
      </c>
      <c r="D207" s="1" t="s">
        <v>51</v>
      </c>
      <c r="E207" s="1" t="s">
        <v>43</v>
      </c>
      <c r="F207" s="1" t="s">
        <v>530</v>
      </c>
      <c r="G207" s="1">
        <v>30</v>
      </c>
      <c r="H207" s="1">
        <v>306</v>
      </c>
      <c r="I207" s="10">
        <f t="shared" si="10"/>
        <v>9180</v>
      </c>
      <c r="J207" s="1">
        <v>3000</v>
      </c>
      <c r="K207" s="1">
        <v>1500</v>
      </c>
      <c r="L207" s="1">
        <f t="shared" si="12"/>
        <v>4680</v>
      </c>
      <c r="M207" s="1"/>
      <c r="N207" s="1"/>
      <c r="O207" s="11">
        <f t="shared" si="11"/>
        <v>4680</v>
      </c>
      <c r="P207" s="40" t="s">
        <v>497</v>
      </c>
      <c r="Q207" s="69"/>
      <c r="R207" s="1"/>
      <c r="S207" s="1"/>
      <c r="T207" s="1"/>
    </row>
    <row r="208" spans="1:20">
      <c r="A208" s="4">
        <v>215</v>
      </c>
      <c r="B208" s="1" t="s">
        <v>392</v>
      </c>
      <c r="C208" s="1" t="s">
        <v>393</v>
      </c>
      <c r="D208" s="1" t="s">
        <v>394</v>
      </c>
      <c r="E208" s="1" t="s">
        <v>395</v>
      </c>
      <c r="F208" s="1"/>
      <c r="G208" s="1">
        <v>20</v>
      </c>
      <c r="H208" s="1">
        <v>205</v>
      </c>
      <c r="I208" s="10">
        <f t="shared" si="10"/>
        <v>4100</v>
      </c>
      <c r="J208" s="1"/>
      <c r="K208" s="1"/>
      <c r="L208" s="1">
        <f t="shared" si="12"/>
        <v>4100</v>
      </c>
      <c r="M208" s="1"/>
      <c r="N208" s="1"/>
      <c r="O208" s="11">
        <f t="shared" si="11"/>
        <v>4100</v>
      </c>
      <c r="P208" s="40"/>
      <c r="Q208" s="69">
        <v>10</v>
      </c>
      <c r="R208" s="1"/>
      <c r="S208" s="1"/>
      <c r="T208" s="1"/>
    </row>
    <row r="209" spans="1:20">
      <c r="A209" s="4">
        <v>218</v>
      </c>
      <c r="B209" s="1" t="s">
        <v>396</v>
      </c>
      <c r="C209" s="1" t="s">
        <v>148</v>
      </c>
      <c r="D209" s="1" t="s">
        <v>397</v>
      </c>
      <c r="E209" s="1" t="s">
        <v>114</v>
      </c>
      <c r="F209" s="1" t="s">
        <v>532</v>
      </c>
      <c r="G209" s="1">
        <v>25</v>
      </c>
      <c r="H209" s="1">
        <v>389</v>
      </c>
      <c r="I209" s="10">
        <f t="shared" si="10"/>
        <v>9725</v>
      </c>
      <c r="J209" s="1">
        <v>4500</v>
      </c>
      <c r="K209" s="1">
        <v>1500</v>
      </c>
      <c r="L209" s="1">
        <f t="shared" si="12"/>
        <v>3725</v>
      </c>
      <c r="M209" s="1">
        <v>500</v>
      </c>
      <c r="N209" s="1">
        <v>100</v>
      </c>
      <c r="O209" s="11">
        <f t="shared" si="11"/>
        <v>3125</v>
      </c>
      <c r="P209" s="40"/>
      <c r="Q209" s="69">
        <v>11</v>
      </c>
      <c r="R209" s="1"/>
      <c r="S209" s="1"/>
      <c r="T209" s="1"/>
    </row>
    <row r="210" spans="1:20">
      <c r="A210" s="4">
        <v>219</v>
      </c>
      <c r="B210" s="1" t="s">
        <v>398</v>
      </c>
      <c r="C210" s="1" t="s">
        <v>112</v>
      </c>
      <c r="D210" s="1" t="s">
        <v>116</v>
      </c>
      <c r="E210" s="1" t="s">
        <v>167</v>
      </c>
      <c r="F210" s="1"/>
      <c r="G210" s="1">
        <v>15</v>
      </c>
      <c r="H210" s="1">
        <v>397</v>
      </c>
      <c r="I210" s="10">
        <f t="shared" si="10"/>
        <v>5955</v>
      </c>
      <c r="J210" s="1">
        <v>3000</v>
      </c>
      <c r="K210" s="1">
        <v>1500</v>
      </c>
      <c r="L210" s="1">
        <f t="shared" si="12"/>
        <v>1455</v>
      </c>
      <c r="M210" s="1"/>
      <c r="N210" s="1"/>
      <c r="O210" s="11">
        <f t="shared" si="11"/>
        <v>1455</v>
      </c>
      <c r="P210" s="40"/>
      <c r="Q210" s="69" t="s">
        <v>524</v>
      </c>
      <c r="R210" s="1"/>
      <c r="S210" s="1"/>
      <c r="T210" s="1"/>
    </row>
    <row r="211" spans="1:20">
      <c r="A211" s="4">
        <v>220</v>
      </c>
      <c r="B211" s="1" t="s">
        <v>399</v>
      </c>
      <c r="C211" s="1" t="s">
        <v>112</v>
      </c>
      <c r="D211" s="1" t="s">
        <v>113</v>
      </c>
      <c r="E211" s="1" t="s">
        <v>167</v>
      </c>
      <c r="F211" s="1"/>
      <c r="G211" s="1">
        <v>5</v>
      </c>
      <c r="H211" s="1">
        <v>457</v>
      </c>
      <c r="I211" s="10">
        <f t="shared" si="10"/>
        <v>2285</v>
      </c>
      <c r="J211" s="1"/>
      <c r="K211" s="1"/>
      <c r="L211" s="1">
        <f t="shared" si="12"/>
        <v>2285</v>
      </c>
      <c r="M211" s="1"/>
      <c r="N211" s="1"/>
      <c r="O211" s="11">
        <f t="shared" si="11"/>
        <v>2285</v>
      </c>
      <c r="P211" s="40" t="s">
        <v>497</v>
      </c>
      <c r="Q211" s="69"/>
      <c r="R211" s="1"/>
      <c r="S211" s="1"/>
      <c r="T211" s="1"/>
    </row>
    <row r="212" spans="1:20">
      <c r="A212" s="4">
        <v>221</v>
      </c>
      <c r="B212" s="1" t="s">
        <v>400</v>
      </c>
      <c r="C212" s="1" t="s">
        <v>56</v>
      </c>
      <c r="D212" s="1" t="s">
        <v>169</v>
      </c>
      <c r="E212" s="1" t="s">
        <v>9</v>
      </c>
      <c r="F212" s="1" t="s">
        <v>529</v>
      </c>
      <c r="G212" s="1">
        <v>13</v>
      </c>
      <c r="H212" s="1">
        <v>438</v>
      </c>
      <c r="I212" s="10">
        <f t="shared" si="10"/>
        <v>5694</v>
      </c>
      <c r="J212" s="1"/>
      <c r="K212" s="1"/>
      <c r="L212" s="1">
        <f t="shared" si="12"/>
        <v>5694</v>
      </c>
      <c r="M212" s="1"/>
      <c r="N212" s="1"/>
      <c r="O212" s="11">
        <f t="shared" si="11"/>
        <v>5694</v>
      </c>
      <c r="P212" s="40"/>
      <c r="Q212" s="69" t="s">
        <v>524</v>
      </c>
      <c r="R212" s="1"/>
      <c r="S212" s="1"/>
      <c r="T212" s="1"/>
    </row>
    <row r="213" spans="1:20">
      <c r="A213" s="4">
        <v>222</v>
      </c>
      <c r="B213" s="1" t="s">
        <v>401</v>
      </c>
      <c r="C213" s="1" t="s">
        <v>17</v>
      </c>
      <c r="D213" s="1" t="s">
        <v>203</v>
      </c>
      <c r="E213" s="1" t="s">
        <v>156</v>
      </c>
      <c r="F213" s="1"/>
      <c r="G213" s="1">
        <v>13</v>
      </c>
      <c r="H213" s="1">
        <v>399</v>
      </c>
      <c r="I213" s="10">
        <f t="shared" si="10"/>
        <v>5187</v>
      </c>
      <c r="J213" s="1">
        <v>5000</v>
      </c>
      <c r="K213" s="1">
        <v>1500</v>
      </c>
      <c r="L213" s="1">
        <f t="shared" si="12"/>
        <v>-1313</v>
      </c>
      <c r="M213" s="1"/>
      <c r="N213" s="1"/>
      <c r="O213" s="11">
        <f t="shared" si="11"/>
        <v>-1313</v>
      </c>
      <c r="P213" s="40"/>
      <c r="Q213" s="69"/>
      <c r="R213" s="1"/>
      <c r="S213" s="1"/>
      <c r="T213" s="1"/>
    </row>
    <row r="214" spans="1:20">
      <c r="A214" s="4">
        <v>223</v>
      </c>
      <c r="B214" s="1" t="s">
        <v>402</v>
      </c>
      <c r="C214" s="1" t="s">
        <v>17</v>
      </c>
      <c r="D214" s="1" t="s">
        <v>203</v>
      </c>
      <c r="E214" s="1" t="s">
        <v>156</v>
      </c>
      <c r="F214" s="1"/>
      <c r="G214" s="1">
        <v>12</v>
      </c>
      <c r="H214" s="1">
        <v>399</v>
      </c>
      <c r="I214" s="10">
        <f t="shared" si="10"/>
        <v>4788</v>
      </c>
      <c r="J214" s="1"/>
      <c r="K214" s="1"/>
      <c r="L214" s="1">
        <f t="shared" si="12"/>
        <v>4788</v>
      </c>
      <c r="M214" s="1"/>
      <c r="N214" s="1"/>
      <c r="O214" s="11">
        <f t="shared" si="11"/>
        <v>4788</v>
      </c>
      <c r="P214" s="40"/>
      <c r="Q214" s="69"/>
      <c r="R214" s="1"/>
      <c r="S214" s="1"/>
      <c r="T214" s="1"/>
    </row>
    <row r="215" spans="1:20">
      <c r="A215" s="4">
        <v>225</v>
      </c>
      <c r="B215" s="1" t="s">
        <v>403</v>
      </c>
      <c r="C215" s="1" t="s">
        <v>404</v>
      </c>
      <c r="D215" s="1" t="s">
        <v>405</v>
      </c>
      <c r="E215" s="1" t="s">
        <v>226</v>
      </c>
      <c r="F215" s="1"/>
      <c r="G215" s="1">
        <v>25</v>
      </c>
      <c r="H215" s="1">
        <v>338</v>
      </c>
      <c r="I215" s="10">
        <f t="shared" si="10"/>
        <v>8450</v>
      </c>
      <c r="J215" s="1"/>
      <c r="K215" s="1">
        <v>5000</v>
      </c>
      <c r="L215" s="1">
        <f t="shared" si="12"/>
        <v>3450</v>
      </c>
      <c r="M215" s="1"/>
      <c r="N215" s="1"/>
      <c r="O215" s="11">
        <f t="shared" si="11"/>
        <v>3450</v>
      </c>
      <c r="P215" s="40"/>
      <c r="Q215" s="69" t="s">
        <v>524</v>
      </c>
      <c r="R215" s="1"/>
      <c r="S215" s="1"/>
      <c r="T215" s="1"/>
    </row>
    <row r="216" spans="1:20">
      <c r="A216" s="4">
        <v>224</v>
      </c>
      <c r="B216" s="1" t="s">
        <v>406</v>
      </c>
      <c r="C216" s="1" t="s">
        <v>389</v>
      </c>
      <c r="D216" s="1" t="s">
        <v>407</v>
      </c>
      <c r="E216" s="1" t="s">
        <v>200</v>
      </c>
      <c r="F216" s="1"/>
      <c r="G216" s="1">
        <v>20</v>
      </c>
      <c r="H216" s="1">
        <v>292</v>
      </c>
      <c r="I216" s="10">
        <f t="shared" si="10"/>
        <v>5840</v>
      </c>
      <c r="J216" s="1">
        <v>2500</v>
      </c>
      <c r="K216" s="1">
        <v>1500</v>
      </c>
      <c r="L216" s="1">
        <f t="shared" si="12"/>
        <v>1840</v>
      </c>
      <c r="M216" s="1"/>
      <c r="N216" s="1"/>
      <c r="O216" s="11">
        <f t="shared" si="11"/>
        <v>1840</v>
      </c>
      <c r="P216" s="40"/>
      <c r="Q216" s="69"/>
      <c r="R216" s="1"/>
      <c r="S216" s="1"/>
      <c r="T216" s="1"/>
    </row>
    <row r="217" spans="1:20">
      <c r="A217" s="4">
        <v>226</v>
      </c>
      <c r="B217" s="1" t="s">
        <v>402</v>
      </c>
      <c r="C217" s="1" t="s">
        <v>240</v>
      </c>
      <c r="D217" s="1" t="s">
        <v>59</v>
      </c>
      <c r="E217" s="1" t="s">
        <v>52</v>
      </c>
      <c r="F217" s="1"/>
      <c r="G217" s="1">
        <v>12</v>
      </c>
      <c r="H217" s="1">
        <v>206</v>
      </c>
      <c r="I217" s="10">
        <f t="shared" si="10"/>
        <v>2472</v>
      </c>
      <c r="J217" s="1"/>
      <c r="K217" s="1"/>
      <c r="L217" s="1">
        <f t="shared" si="12"/>
        <v>2472</v>
      </c>
      <c r="M217" s="1"/>
      <c r="N217" s="1"/>
      <c r="O217" s="11">
        <f t="shared" si="11"/>
        <v>2472</v>
      </c>
      <c r="P217" s="40"/>
      <c r="Q217" s="69">
        <v>10</v>
      </c>
      <c r="R217" s="1"/>
      <c r="S217" s="1"/>
      <c r="T217" s="1"/>
    </row>
    <row r="218" spans="1:20">
      <c r="A218" s="4">
        <v>227</v>
      </c>
      <c r="B218" s="1" t="s">
        <v>408</v>
      </c>
      <c r="C218" s="1" t="s">
        <v>240</v>
      </c>
      <c r="D218" s="1" t="s">
        <v>59</v>
      </c>
      <c r="E218" s="1" t="s">
        <v>52</v>
      </c>
      <c r="F218" s="1"/>
      <c r="G218" s="1">
        <v>13</v>
      </c>
      <c r="H218" s="1">
        <v>206</v>
      </c>
      <c r="I218" s="10">
        <f t="shared" si="10"/>
        <v>2678</v>
      </c>
      <c r="J218" s="1"/>
      <c r="K218" s="1"/>
      <c r="L218" s="1">
        <f t="shared" si="12"/>
        <v>2678</v>
      </c>
      <c r="M218" s="1"/>
      <c r="N218" s="1"/>
      <c r="O218" s="11">
        <f t="shared" si="11"/>
        <v>2678</v>
      </c>
      <c r="P218" s="40"/>
      <c r="Q218" s="69">
        <v>10</v>
      </c>
      <c r="R218" s="1"/>
      <c r="S218" s="1"/>
      <c r="T218" s="1"/>
    </row>
    <row r="219" spans="1:20">
      <c r="A219" s="4">
        <v>228</v>
      </c>
      <c r="B219" s="1" t="s">
        <v>409</v>
      </c>
      <c r="C219" s="1" t="s">
        <v>17</v>
      </c>
      <c r="D219" s="1" t="s">
        <v>347</v>
      </c>
      <c r="E219" s="1" t="s">
        <v>19</v>
      </c>
      <c r="F219" s="1" t="s">
        <v>529</v>
      </c>
      <c r="G219" s="1">
        <v>13</v>
      </c>
      <c r="H219" s="1">
        <v>344</v>
      </c>
      <c r="I219" s="10">
        <f t="shared" si="10"/>
        <v>4472</v>
      </c>
      <c r="J219" s="1"/>
      <c r="K219" s="1">
        <v>1000</v>
      </c>
      <c r="L219" s="1">
        <f t="shared" si="12"/>
        <v>3472</v>
      </c>
      <c r="M219" s="1"/>
      <c r="N219" s="1"/>
      <c r="O219" s="11">
        <f t="shared" si="11"/>
        <v>3472</v>
      </c>
      <c r="P219" s="40"/>
      <c r="Q219" s="69">
        <v>11</v>
      </c>
      <c r="R219" s="1"/>
      <c r="S219" s="1"/>
      <c r="T219" s="1"/>
    </row>
    <row r="220" spans="1:20">
      <c r="A220" s="4">
        <v>229</v>
      </c>
      <c r="B220" s="1" t="s">
        <v>410</v>
      </c>
      <c r="C220" s="1" t="s">
        <v>411</v>
      </c>
      <c r="D220" s="1" t="s">
        <v>412</v>
      </c>
      <c r="E220" s="1" t="s">
        <v>19</v>
      </c>
      <c r="F220" s="1" t="s">
        <v>529</v>
      </c>
      <c r="G220" s="1">
        <v>13</v>
      </c>
      <c r="H220" s="1">
        <v>377</v>
      </c>
      <c r="I220" s="10">
        <f t="shared" si="10"/>
        <v>4901</v>
      </c>
      <c r="J220" s="1">
        <v>2000</v>
      </c>
      <c r="K220" s="1">
        <v>1000</v>
      </c>
      <c r="L220" s="1">
        <f t="shared" si="12"/>
        <v>1901</v>
      </c>
      <c r="M220" s="1"/>
      <c r="N220" s="1"/>
      <c r="O220" s="11">
        <f t="shared" si="11"/>
        <v>1901</v>
      </c>
      <c r="P220" s="40"/>
      <c r="Q220" s="69">
        <v>11</v>
      </c>
      <c r="R220" s="1"/>
      <c r="S220" s="1"/>
      <c r="T220" s="1"/>
    </row>
    <row r="221" spans="1:20">
      <c r="A221" s="4">
        <v>230</v>
      </c>
      <c r="B221" s="1" t="s">
        <v>413</v>
      </c>
      <c r="C221" s="1" t="s">
        <v>414</v>
      </c>
      <c r="D221" s="1" t="s">
        <v>415</v>
      </c>
      <c r="E221" s="1" t="s">
        <v>278</v>
      </c>
      <c r="F221" s="1"/>
      <c r="G221" s="1">
        <v>25</v>
      </c>
      <c r="H221" s="1">
        <v>378</v>
      </c>
      <c r="I221" s="10">
        <f t="shared" si="10"/>
        <v>9450</v>
      </c>
      <c r="J221" s="1">
        <v>4500</v>
      </c>
      <c r="K221" s="1">
        <v>1500</v>
      </c>
      <c r="L221" s="1">
        <f t="shared" si="12"/>
        <v>3450</v>
      </c>
      <c r="M221" s="1"/>
      <c r="N221" s="1"/>
      <c r="O221" s="11">
        <f t="shared" si="11"/>
        <v>3450</v>
      </c>
      <c r="P221" s="40"/>
      <c r="Q221" s="69">
        <v>10</v>
      </c>
      <c r="R221" s="1"/>
      <c r="S221" s="1"/>
      <c r="T221" s="1"/>
    </row>
    <row r="222" spans="1:20">
      <c r="A222" s="4">
        <v>231</v>
      </c>
      <c r="B222" s="1" t="s">
        <v>416</v>
      </c>
      <c r="C222" s="1" t="s">
        <v>180</v>
      </c>
      <c r="D222" s="1" t="s">
        <v>417</v>
      </c>
      <c r="E222" s="1" t="s">
        <v>304</v>
      </c>
      <c r="F222" s="1"/>
      <c r="G222" s="1">
        <v>25</v>
      </c>
      <c r="H222" s="1">
        <v>244</v>
      </c>
      <c r="I222" s="10">
        <f t="shared" si="10"/>
        <v>6100</v>
      </c>
      <c r="J222" s="1"/>
      <c r="K222" s="1">
        <v>4000</v>
      </c>
      <c r="L222" s="1">
        <f t="shared" si="12"/>
        <v>2100</v>
      </c>
      <c r="M222" s="1"/>
      <c r="N222" s="1"/>
      <c r="O222" s="11">
        <f t="shared" si="11"/>
        <v>2100</v>
      </c>
      <c r="P222" s="40"/>
      <c r="Q222" s="69" t="s">
        <v>524</v>
      </c>
      <c r="R222" s="1"/>
      <c r="S222" s="1"/>
      <c r="T222" s="1"/>
    </row>
    <row r="223" spans="1:20">
      <c r="A223" s="4">
        <v>232</v>
      </c>
      <c r="B223" s="1" t="s">
        <v>418</v>
      </c>
      <c r="C223" s="1" t="s">
        <v>419</v>
      </c>
      <c r="D223" s="1" t="s">
        <v>76</v>
      </c>
      <c r="E223" s="1" t="s">
        <v>77</v>
      </c>
      <c r="F223" s="1" t="s">
        <v>530</v>
      </c>
      <c r="G223" s="1">
        <v>15</v>
      </c>
      <c r="H223" s="1">
        <v>481</v>
      </c>
      <c r="I223" s="10">
        <f t="shared" si="10"/>
        <v>7215</v>
      </c>
      <c r="J223" s="1">
        <v>8000</v>
      </c>
      <c r="K223" s="1">
        <v>2000</v>
      </c>
      <c r="L223" s="1">
        <f t="shared" si="12"/>
        <v>-2785</v>
      </c>
      <c r="M223" s="1"/>
      <c r="N223" s="1"/>
      <c r="O223" s="11">
        <f t="shared" si="11"/>
        <v>-2785</v>
      </c>
      <c r="P223" s="40" t="s">
        <v>497</v>
      </c>
      <c r="Q223" s="69"/>
      <c r="R223" s="1"/>
      <c r="S223" s="1"/>
      <c r="T223" s="1"/>
    </row>
    <row r="224" spans="1:20">
      <c r="A224" s="4">
        <v>233</v>
      </c>
      <c r="B224" s="1" t="s">
        <v>420</v>
      </c>
      <c r="C224" s="1" t="s">
        <v>419</v>
      </c>
      <c r="D224" s="1" t="s">
        <v>76</v>
      </c>
      <c r="E224" s="1" t="s">
        <v>77</v>
      </c>
      <c r="F224" s="1" t="s">
        <v>530</v>
      </c>
      <c r="G224" s="1">
        <v>15</v>
      </c>
      <c r="H224" s="1">
        <v>481</v>
      </c>
      <c r="I224" s="10">
        <f t="shared" si="10"/>
        <v>7215</v>
      </c>
      <c r="J224" s="1"/>
      <c r="K224" s="1"/>
      <c r="L224" s="1">
        <f t="shared" si="12"/>
        <v>7215</v>
      </c>
      <c r="M224" s="1"/>
      <c r="N224" s="1"/>
      <c r="O224" s="11">
        <f t="shared" si="11"/>
        <v>7215</v>
      </c>
      <c r="P224" s="40" t="s">
        <v>497</v>
      </c>
      <c r="Q224" s="69"/>
      <c r="R224" s="1"/>
      <c r="S224" s="1"/>
      <c r="T224" s="1"/>
    </row>
    <row r="225" spans="1:22">
      <c r="A225" s="4">
        <v>234</v>
      </c>
      <c r="B225" s="1" t="s">
        <v>421</v>
      </c>
      <c r="C225" s="1" t="s">
        <v>180</v>
      </c>
      <c r="D225" s="1" t="s">
        <v>422</v>
      </c>
      <c r="E225" s="1" t="s">
        <v>150</v>
      </c>
      <c r="F225" s="1"/>
      <c r="G225" s="1">
        <v>20</v>
      </c>
      <c r="H225" s="1">
        <v>475</v>
      </c>
      <c r="I225" s="10">
        <f t="shared" si="10"/>
        <v>9500</v>
      </c>
      <c r="J225" s="1">
        <v>5500</v>
      </c>
      <c r="K225" s="1">
        <v>1500</v>
      </c>
      <c r="L225" s="1">
        <f t="shared" si="12"/>
        <v>2500</v>
      </c>
      <c r="M225" s="1"/>
      <c r="N225" s="1"/>
      <c r="O225" s="11">
        <f t="shared" si="11"/>
        <v>2500</v>
      </c>
      <c r="P225" s="40" t="s">
        <v>497</v>
      </c>
      <c r="Q225" s="69"/>
      <c r="R225" s="1"/>
      <c r="S225" s="1"/>
      <c r="T225" s="1"/>
    </row>
    <row r="226" spans="1:22">
      <c r="A226" s="4">
        <v>235</v>
      </c>
      <c r="B226" s="1" t="s">
        <v>424</v>
      </c>
      <c r="C226" s="1" t="s">
        <v>257</v>
      </c>
      <c r="D226" s="1" t="s">
        <v>51</v>
      </c>
      <c r="E226" s="1" t="s">
        <v>14</v>
      </c>
      <c r="F226" s="1" t="s">
        <v>529</v>
      </c>
      <c r="G226" s="1">
        <v>25</v>
      </c>
      <c r="H226" s="1">
        <v>304</v>
      </c>
      <c r="I226" s="10">
        <f t="shared" si="10"/>
        <v>7600</v>
      </c>
      <c r="J226" s="1">
        <v>3000</v>
      </c>
      <c r="K226" s="1">
        <v>1500</v>
      </c>
      <c r="L226" s="1">
        <f t="shared" si="12"/>
        <v>3100</v>
      </c>
      <c r="M226" s="1"/>
      <c r="N226" s="1"/>
      <c r="O226" s="11">
        <f t="shared" si="11"/>
        <v>3100</v>
      </c>
      <c r="P226" s="40"/>
      <c r="Q226" s="69" t="s">
        <v>524</v>
      </c>
      <c r="R226" s="1"/>
      <c r="S226" s="1"/>
      <c r="T226" s="1"/>
    </row>
    <row r="227" spans="1:22">
      <c r="A227" s="4">
        <v>236</v>
      </c>
      <c r="B227" s="1" t="s">
        <v>425</v>
      </c>
      <c r="C227" s="1" t="s">
        <v>426</v>
      </c>
      <c r="D227" s="1" t="s">
        <v>394</v>
      </c>
      <c r="E227" s="1" t="s">
        <v>395</v>
      </c>
      <c r="F227" s="1"/>
      <c r="G227" s="1">
        <v>20</v>
      </c>
      <c r="H227" s="1">
        <v>194</v>
      </c>
      <c r="I227" s="10">
        <f t="shared" si="10"/>
        <v>3880</v>
      </c>
      <c r="J227" s="1"/>
      <c r="K227" s="1">
        <v>2000</v>
      </c>
      <c r="L227" s="1">
        <f t="shared" si="12"/>
        <v>1880</v>
      </c>
      <c r="M227" s="1"/>
      <c r="N227" s="1"/>
      <c r="O227" s="11">
        <f t="shared" si="11"/>
        <v>1880</v>
      </c>
      <c r="P227" s="40"/>
      <c r="Q227" s="69">
        <v>10</v>
      </c>
      <c r="R227" s="1"/>
      <c r="S227" s="1"/>
      <c r="T227" s="1"/>
    </row>
    <row r="228" spans="1:22">
      <c r="A228" s="4">
        <v>239</v>
      </c>
      <c r="B228" s="1" t="s">
        <v>427</v>
      </c>
      <c r="C228" s="1" t="s">
        <v>180</v>
      </c>
      <c r="D228" s="1" t="s">
        <v>51</v>
      </c>
      <c r="E228" s="1" t="s">
        <v>52</v>
      </c>
      <c r="F228" s="1"/>
      <c r="G228" s="1">
        <v>25</v>
      </c>
      <c r="H228" s="1">
        <v>304</v>
      </c>
      <c r="I228" s="10">
        <f t="shared" si="10"/>
        <v>7600</v>
      </c>
      <c r="J228" s="1"/>
      <c r="K228" s="1"/>
      <c r="L228" s="1">
        <f t="shared" si="12"/>
        <v>7600</v>
      </c>
      <c r="M228" s="1"/>
      <c r="N228" s="1"/>
      <c r="O228" s="11">
        <f t="shared" si="11"/>
        <v>7600</v>
      </c>
      <c r="P228" s="40" t="s">
        <v>497</v>
      </c>
      <c r="Q228" s="69" t="s">
        <v>525</v>
      </c>
      <c r="R228" s="1"/>
      <c r="S228" s="1"/>
      <c r="T228" s="1"/>
    </row>
    <row r="229" spans="1:22">
      <c r="A229" s="4">
        <v>237</v>
      </c>
      <c r="B229" s="1" t="s">
        <v>428</v>
      </c>
      <c r="C229" s="1" t="s">
        <v>58</v>
      </c>
      <c r="D229" s="1" t="s">
        <v>59</v>
      </c>
      <c r="E229" s="1" t="s">
        <v>224</v>
      </c>
      <c r="F229" s="1"/>
      <c r="G229" s="1">
        <v>10</v>
      </c>
      <c r="H229" s="1">
        <v>206</v>
      </c>
      <c r="I229" s="10">
        <f t="shared" si="10"/>
        <v>2060</v>
      </c>
      <c r="J229" s="1"/>
      <c r="K229" s="1"/>
      <c r="L229" s="1">
        <f t="shared" si="12"/>
        <v>2060</v>
      </c>
      <c r="M229" s="1"/>
      <c r="N229" s="1"/>
      <c r="O229" s="11">
        <f t="shared" si="11"/>
        <v>2060</v>
      </c>
      <c r="P229" s="40" t="s">
        <v>497</v>
      </c>
      <c r="Q229" s="69"/>
      <c r="R229" s="1"/>
      <c r="S229" s="1"/>
      <c r="T229" s="1"/>
    </row>
    <row r="230" spans="1:22">
      <c r="A230" s="4">
        <v>238</v>
      </c>
      <c r="B230" s="1" t="s">
        <v>429</v>
      </c>
      <c r="C230" s="1" t="s">
        <v>58</v>
      </c>
      <c r="D230" s="1" t="s">
        <v>59</v>
      </c>
      <c r="E230" s="1" t="s">
        <v>224</v>
      </c>
      <c r="F230" s="1"/>
      <c r="G230" s="1">
        <v>15</v>
      </c>
      <c r="H230" s="1">
        <v>206</v>
      </c>
      <c r="I230" s="10">
        <f t="shared" si="10"/>
        <v>3090</v>
      </c>
      <c r="J230" s="1"/>
      <c r="K230" s="1"/>
      <c r="L230" s="1">
        <f t="shared" si="12"/>
        <v>3090</v>
      </c>
      <c r="M230" s="1"/>
      <c r="N230" s="1"/>
      <c r="O230" s="11">
        <f t="shared" si="11"/>
        <v>3090</v>
      </c>
      <c r="P230" s="40" t="s">
        <v>497</v>
      </c>
      <c r="Q230" s="69"/>
      <c r="R230" s="1"/>
      <c r="S230" s="1"/>
      <c r="T230" s="1"/>
    </row>
    <row r="231" spans="1:22">
      <c r="A231" s="4">
        <v>240</v>
      </c>
      <c r="B231" s="1" t="s">
        <v>430</v>
      </c>
      <c r="C231" s="1" t="s">
        <v>233</v>
      </c>
      <c r="D231" s="1" t="s">
        <v>8</v>
      </c>
      <c r="E231" s="1" t="s">
        <v>24</v>
      </c>
      <c r="F231" s="1" t="s">
        <v>529</v>
      </c>
      <c r="G231" s="1">
        <v>13</v>
      </c>
      <c r="H231" s="1">
        <v>423</v>
      </c>
      <c r="I231" s="10">
        <f t="shared" si="10"/>
        <v>5499</v>
      </c>
      <c r="J231" s="1">
        <v>2000</v>
      </c>
      <c r="K231" s="1">
        <v>1000</v>
      </c>
      <c r="L231" s="1">
        <f t="shared" si="12"/>
        <v>2499</v>
      </c>
      <c r="M231" s="1"/>
      <c r="N231" s="1"/>
      <c r="O231" s="11">
        <f t="shared" si="11"/>
        <v>2499</v>
      </c>
      <c r="P231" s="40"/>
      <c r="Q231" s="69">
        <v>11</v>
      </c>
      <c r="R231" s="1"/>
      <c r="S231" s="1"/>
      <c r="T231" s="1"/>
    </row>
    <row r="232" spans="1:22">
      <c r="A232" s="4">
        <v>241</v>
      </c>
      <c r="B232" s="1" t="s">
        <v>431</v>
      </c>
      <c r="C232" s="1" t="s">
        <v>37</v>
      </c>
      <c r="D232" s="1" t="s">
        <v>51</v>
      </c>
      <c r="E232" s="1" t="s">
        <v>114</v>
      </c>
      <c r="F232" s="1"/>
      <c r="G232" s="1">
        <v>25</v>
      </c>
      <c r="H232" s="1">
        <v>304</v>
      </c>
      <c r="I232" s="10">
        <f t="shared" si="10"/>
        <v>7600</v>
      </c>
      <c r="J232" s="1"/>
      <c r="K232" s="1">
        <v>3500</v>
      </c>
      <c r="L232" s="1">
        <f t="shared" si="12"/>
        <v>4100</v>
      </c>
      <c r="M232" s="1">
        <v>500</v>
      </c>
      <c r="N232" s="1">
        <v>100</v>
      </c>
      <c r="O232" s="11">
        <f t="shared" si="11"/>
        <v>3500</v>
      </c>
      <c r="P232" s="40"/>
      <c r="Q232" s="69">
        <v>11</v>
      </c>
      <c r="R232" s="1"/>
      <c r="S232" s="1"/>
      <c r="T232" s="1"/>
      <c r="V232" s="37"/>
    </row>
    <row r="233" spans="1:22">
      <c r="A233" s="4">
        <v>247</v>
      </c>
      <c r="B233" s="1" t="s">
        <v>432</v>
      </c>
      <c r="C233" s="1" t="s">
        <v>75</v>
      </c>
      <c r="D233" s="1" t="s">
        <v>76</v>
      </c>
      <c r="E233" s="1" t="s">
        <v>47</v>
      </c>
      <c r="F233" s="1" t="s">
        <v>530</v>
      </c>
      <c r="G233" s="1">
        <v>5</v>
      </c>
      <c r="H233" s="1">
        <v>448</v>
      </c>
      <c r="I233" s="10">
        <f t="shared" si="10"/>
        <v>2240</v>
      </c>
      <c r="J233" s="1"/>
      <c r="K233" s="1"/>
      <c r="L233" s="1">
        <f t="shared" si="12"/>
        <v>2240</v>
      </c>
      <c r="M233" s="1"/>
      <c r="N233" s="1"/>
      <c r="O233" s="11">
        <f t="shared" si="11"/>
        <v>2240</v>
      </c>
      <c r="P233" s="40" t="s">
        <v>497</v>
      </c>
      <c r="Q233" s="69" t="s">
        <v>525</v>
      </c>
      <c r="R233" s="1"/>
      <c r="S233" s="1"/>
      <c r="T233" s="1"/>
    </row>
    <row r="234" spans="1:22">
      <c r="A234" s="4">
        <v>246</v>
      </c>
      <c r="B234" s="1" t="s">
        <v>433</v>
      </c>
      <c r="C234" s="1" t="s">
        <v>75</v>
      </c>
      <c r="D234" s="1" t="s">
        <v>76</v>
      </c>
      <c r="E234" s="1" t="s">
        <v>47</v>
      </c>
      <c r="F234" s="1" t="s">
        <v>530</v>
      </c>
      <c r="G234" s="1">
        <v>15</v>
      </c>
      <c r="H234" s="1">
        <v>448</v>
      </c>
      <c r="I234" s="10">
        <f t="shared" si="10"/>
        <v>6720</v>
      </c>
      <c r="J234" s="1"/>
      <c r="K234" s="1"/>
      <c r="L234" s="1">
        <f t="shared" si="12"/>
        <v>6720</v>
      </c>
      <c r="M234" s="1"/>
      <c r="N234" s="1"/>
      <c r="O234" s="11">
        <f t="shared" si="11"/>
        <v>6720</v>
      </c>
      <c r="P234" s="40" t="s">
        <v>497</v>
      </c>
      <c r="Q234" s="69" t="s">
        <v>525</v>
      </c>
      <c r="R234" s="1"/>
      <c r="S234" s="1"/>
      <c r="T234" s="1"/>
    </row>
    <row r="235" spans="1:22">
      <c r="A235" s="4">
        <v>245</v>
      </c>
      <c r="B235" s="1" t="s">
        <v>434</v>
      </c>
      <c r="C235" s="1" t="s">
        <v>75</v>
      </c>
      <c r="D235" s="1" t="s">
        <v>76</v>
      </c>
      <c r="E235" s="1" t="s">
        <v>47</v>
      </c>
      <c r="F235" s="1" t="s">
        <v>530</v>
      </c>
      <c r="G235" s="1">
        <v>15</v>
      </c>
      <c r="H235" s="1">
        <v>448</v>
      </c>
      <c r="I235" s="10">
        <f t="shared" si="10"/>
        <v>6720</v>
      </c>
      <c r="J235" s="1"/>
      <c r="K235" s="1"/>
      <c r="L235" s="1">
        <f t="shared" si="12"/>
        <v>6720</v>
      </c>
      <c r="M235" s="1"/>
      <c r="N235" s="1"/>
      <c r="O235" s="11">
        <f t="shared" si="11"/>
        <v>6720</v>
      </c>
      <c r="P235" s="40" t="s">
        <v>497</v>
      </c>
      <c r="Q235" s="69" t="s">
        <v>525</v>
      </c>
      <c r="R235" s="1"/>
      <c r="S235" s="1"/>
      <c r="T235" s="1"/>
    </row>
    <row r="236" spans="1:22">
      <c r="A236" s="4">
        <v>244</v>
      </c>
      <c r="B236" s="1" t="s">
        <v>435</v>
      </c>
      <c r="C236" s="1" t="s">
        <v>104</v>
      </c>
      <c r="D236" s="1" t="s">
        <v>105</v>
      </c>
      <c r="E236" s="1" t="s">
        <v>43</v>
      </c>
      <c r="F236" s="1" t="s">
        <v>530</v>
      </c>
      <c r="G236" s="1">
        <v>10</v>
      </c>
      <c r="H236" s="1">
        <v>501</v>
      </c>
      <c r="I236" s="10">
        <f t="shared" si="10"/>
        <v>5010</v>
      </c>
      <c r="J236" s="1">
        <v>6000</v>
      </c>
      <c r="K236" s="1">
        <v>2000</v>
      </c>
      <c r="L236" s="1">
        <f t="shared" si="12"/>
        <v>-2990</v>
      </c>
      <c r="M236" s="1"/>
      <c r="N236" s="1"/>
      <c r="O236" s="11">
        <f t="shared" si="11"/>
        <v>-2990</v>
      </c>
      <c r="P236" s="40"/>
      <c r="Q236" s="69">
        <v>11</v>
      </c>
      <c r="R236" s="1"/>
      <c r="S236" s="1"/>
      <c r="T236" s="1"/>
    </row>
    <row r="237" spans="1:22">
      <c r="A237" s="4">
        <v>243</v>
      </c>
      <c r="B237" s="1" t="s">
        <v>436</v>
      </c>
      <c r="C237" s="1" t="s">
        <v>104</v>
      </c>
      <c r="D237" s="1" t="s">
        <v>105</v>
      </c>
      <c r="E237" s="1" t="s">
        <v>43</v>
      </c>
      <c r="F237" s="1" t="s">
        <v>530</v>
      </c>
      <c r="G237" s="1">
        <v>10</v>
      </c>
      <c r="H237" s="1">
        <v>501</v>
      </c>
      <c r="I237" s="10">
        <f t="shared" si="10"/>
        <v>5010</v>
      </c>
      <c r="J237" s="1"/>
      <c r="K237" s="1"/>
      <c r="L237" s="1">
        <f t="shared" si="12"/>
        <v>5010</v>
      </c>
      <c r="M237" s="1"/>
      <c r="N237" s="1"/>
      <c r="O237" s="11">
        <f t="shared" si="11"/>
        <v>5010</v>
      </c>
      <c r="P237" s="40"/>
      <c r="Q237" s="69">
        <v>11</v>
      </c>
      <c r="R237" s="1"/>
      <c r="S237" s="1"/>
      <c r="T237" s="1"/>
    </row>
    <row r="238" spans="1:22">
      <c r="A238" s="4">
        <v>242</v>
      </c>
      <c r="B238" s="1" t="s">
        <v>437</v>
      </c>
      <c r="C238" s="1" t="s">
        <v>104</v>
      </c>
      <c r="D238" s="1" t="s">
        <v>105</v>
      </c>
      <c r="E238" s="1" t="s">
        <v>43</v>
      </c>
      <c r="F238" s="1" t="s">
        <v>530</v>
      </c>
      <c r="G238" s="1">
        <v>10</v>
      </c>
      <c r="H238" s="1">
        <v>501</v>
      </c>
      <c r="I238" s="10">
        <f t="shared" si="10"/>
        <v>5010</v>
      </c>
      <c r="J238" s="1"/>
      <c r="K238" s="1"/>
      <c r="L238" s="1">
        <f t="shared" si="12"/>
        <v>5010</v>
      </c>
      <c r="M238" s="1"/>
      <c r="N238" s="1"/>
      <c r="O238" s="11">
        <f t="shared" si="11"/>
        <v>5010</v>
      </c>
      <c r="P238" s="40"/>
      <c r="Q238" s="69">
        <v>11</v>
      </c>
      <c r="R238" s="1"/>
      <c r="S238" s="1"/>
      <c r="T238" s="1"/>
    </row>
    <row r="239" spans="1:22">
      <c r="A239" s="4">
        <v>248</v>
      </c>
      <c r="B239" s="1" t="s">
        <v>438</v>
      </c>
      <c r="C239" s="1" t="s">
        <v>272</v>
      </c>
      <c r="D239" s="1" t="s">
        <v>273</v>
      </c>
      <c r="E239" s="1" t="s">
        <v>9</v>
      </c>
      <c r="F239" s="1" t="s">
        <v>529</v>
      </c>
      <c r="G239" s="1">
        <v>13</v>
      </c>
      <c r="H239" s="1">
        <v>473</v>
      </c>
      <c r="I239" s="10">
        <f t="shared" si="10"/>
        <v>6149</v>
      </c>
      <c r="J239" s="1">
        <v>2000</v>
      </c>
      <c r="K239" s="1">
        <v>1000</v>
      </c>
      <c r="L239" s="1">
        <f t="shared" si="12"/>
        <v>3149</v>
      </c>
      <c r="M239" s="1"/>
      <c r="N239" s="1"/>
      <c r="O239" s="11">
        <f t="shared" si="11"/>
        <v>3149</v>
      </c>
      <c r="P239" s="40" t="s">
        <v>497</v>
      </c>
      <c r="Q239" s="69"/>
      <c r="R239" s="1"/>
      <c r="S239" s="1"/>
      <c r="T239" s="1"/>
    </row>
    <row r="240" spans="1:22">
      <c r="A240" s="4">
        <v>251</v>
      </c>
      <c r="B240" s="1" t="s">
        <v>439</v>
      </c>
      <c r="C240" s="1" t="s">
        <v>411</v>
      </c>
      <c r="D240" s="1" t="s">
        <v>8</v>
      </c>
      <c r="E240" s="1" t="s">
        <v>288</v>
      </c>
      <c r="F240" s="1"/>
      <c r="G240" s="1">
        <v>18</v>
      </c>
      <c r="H240" s="1">
        <v>313</v>
      </c>
      <c r="I240" s="10">
        <f t="shared" si="10"/>
        <v>5634</v>
      </c>
      <c r="J240" s="1"/>
      <c r="K240" s="1">
        <v>4000</v>
      </c>
      <c r="L240" s="1">
        <f t="shared" si="12"/>
        <v>1634</v>
      </c>
      <c r="M240" s="1"/>
      <c r="N240" s="1"/>
      <c r="O240" s="11">
        <f t="shared" si="11"/>
        <v>1634</v>
      </c>
      <c r="P240" s="40"/>
      <c r="Q240" s="69">
        <v>11</v>
      </c>
      <c r="R240" s="1"/>
      <c r="S240" s="1"/>
      <c r="T240" s="1"/>
    </row>
    <row r="241" spans="1:20">
      <c r="A241" s="4">
        <v>253</v>
      </c>
      <c r="B241" s="1" t="s">
        <v>440</v>
      </c>
      <c r="C241" s="1" t="s">
        <v>384</v>
      </c>
      <c r="D241" s="1" t="s">
        <v>23</v>
      </c>
      <c r="E241" s="1" t="s">
        <v>19</v>
      </c>
      <c r="F241" s="1" t="s">
        <v>529</v>
      </c>
      <c r="G241" s="1">
        <v>13</v>
      </c>
      <c r="H241" s="1">
        <v>413</v>
      </c>
      <c r="I241" s="10">
        <f t="shared" si="10"/>
        <v>5369</v>
      </c>
      <c r="J241" s="1">
        <v>2000</v>
      </c>
      <c r="K241" s="1">
        <v>1000</v>
      </c>
      <c r="L241" s="1">
        <f t="shared" si="12"/>
        <v>2369</v>
      </c>
      <c r="M241" s="1"/>
      <c r="N241" s="1"/>
      <c r="O241" s="11">
        <f t="shared" si="11"/>
        <v>2369</v>
      </c>
      <c r="P241" s="40" t="s">
        <v>497</v>
      </c>
      <c r="Q241" s="69"/>
      <c r="R241" s="1"/>
      <c r="S241" s="1"/>
      <c r="T241" s="1"/>
    </row>
    <row r="242" spans="1:20">
      <c r="A242" s="4">
        <v>252</v>
      </c>
      <c r="B242" s="1" t="s">
        <v>441</v>
      </c>
      <c r="C242" s="1" t="s">
        <v>180</v>
      </c>
      <c r="D242" s="1" t="s">
        <v>51</v>
      </c>
      <c r="E242" s="1" t="s">
        <v>292</v>
      </c>
      <c r="F242" s="1"/>
      <c r="G242" s="1">
        <v>25</v>
      </c>
      <c r="H242" s="1">
        <v>304</v>
      </c>
      <c r="I242" s="10">
        <f t="shared" si="10"/>
        <v>7600</v>
      </c>
      <c r="J242" s="1">
        <v>3000</v>
      </c>
      <c r="K242" s="1">
        <v>1500</v>
      </c>
      <c r="L242" s="1">
        <f t="shared" si="12"/>
        <v>3100</v>
      </c>
      <c r="M242" s="1"/>
      <c r="N242" s="1"/>
      <c r="O242" s="11">
        <f t="shared" si="11"/>
        <v>3100</v>
      </c>
      <c r="P242" s="40" t="s">
        <v>497</v>
      </c>
      <c r="Q242" s="69" t="s">
        <v>525</v>
      </c>
      <c r="R242" s="1"/>
      <c r="S242" s="1"/>
      <c r="T242" s="1"/>
    </row>
    <row r="243" spans="1:20">
      <c r="A243" s="4">
        <v>254</v>
      </c>
      <c r="B243" s="1" t="s">
        <v>423</v>
      </c>
      <c r="C243" s="1" t="s">
        <v>442</v>
      </c>
      <c r="D243" s="1" t="s">
        <v>443</v>
      </c>
      <c r="E243" s="1" t="s">
        <v>224</v>
      </c>
      <c r="F243" s="1"/>
      <c r="G243" s="1">
        <v>25</v>
      </c>
      <c r="H243" s="1">
        <v>281</v>
      </c>
      <c r="I243" s="10">
        <f t="shared" si="10"/>
        <v>7025</v>
      </c>
      <c r="J243" s="1"/>
      <c r="K243" s="1">
        <v>4000</v>
      </c>
      <c r="L243" s="1">
        <f t="shared" si="12"/>
        <v>3025</v>
      </c>
      <c r="M243" s="1"/>
      <c r="N243" s="1"/>
      <c r="O243" s="11">
        <f t="shared" si="11"/>
        <v>3025</v>
      </c>
      <c r="P243" s="40"/>
      <c r="Q243" s="69">
        <v>10</v>
      </c>
      <c r="R243" s="1"/>
      <c r="S243" s="1"/>
      <c r="T243" s="1"/>
    </row>
    <row r="244" spans="1:20">
      <c r="A244" s="4">
        <v>255</v>
      </c>
      <c r="B244" s="27">
        <v>46195</v>
      </c>
      <c r="C244" s="1"/>
      <c r="D244" s="1" t="s">
        <v>488</v>
      </c>
      <c r="E244" s="1" t="s">
        <v>226</v>
      </c>
      <c r="F244" s="1"/>
      <c r="G244" s="1">
        <v>12.5</v>
      </c>
      <c r="H244" s="1">
        <v>495</v>
      </c>
      <c r="I244" s="10"/>
      <c r="J244" s="1">
        <v>7000</v>
      </c>
      <c r="K244" s="1">
        <v>1500</v>
      </c>
      <c r="L244" s="1">
        <f>I244-J244-K244</f>
        <v>-8500</v>
      </c>
      <c r="M244" s="1"/>
      <c r="N244" s="1"/>
      <c r="O244" s="11">
        <f>L244-M244-N244</f>
        <v>-8500</v>
      </c>
      <c r="P244" s="40" t="s">
        <v>497</v>
      </c>
      <c r="Q244" s="69"/>
      <c r="R244" s="1"/>
      <c r="S244" s="1"/>
      <c r="T244" s="1"/>
    </row>
    <row r="245" spans="1:20">
      <c r="A245" s="4">
        <v>256</v>
      </c>
      <c r="B245" s="27">
        <v>46195</v>
      </c>
      <c r="C245" s="1"/>
      <c r="D245" s="1" t="s">
        <v>488</v>
      </c>
      <c r="E245" s="1" t="s">
        <v>226</v>
      </c>
      <c r="F245" s="1"/>
      <c r="G245" s="1">
        <v>12.5</v>
      </c>
      <c r="H245" s="1">
        <v>495</v>
      </c>
      <c r="I245" s="10"/>
      <c r="J245" s="1"/>
      <c r="K245" s="1"/>
      <c r="L245" s="1">
        <f>I245-J245-K245</f>
        <v>0</v>
      </c>
      <c r="M245" s="1"/>
      <c r="N245" s="1"/>
      <c r="O245" s="11">
        <f>L245-M245-N245</f>
        <v>0</v>
      </c>
      <c r="P245" s="40" t="s">
        <v>497</v>
      </c>
      <c r="Q245" s="69"/>
      <c r="R245" s="1"/>
      <c r="S245" s="1"/>
      <c r="T245" s="1"/>
    </row>
    <row r="246" spans="1:20">
      <c r="A246" s="4">
        <v>257</v>
      </c>
      <c r="B246" s="1" t="s">
        <v>444</v>
      </c>
      <c r="C246" s="1" t="s">
        <v>445</v>
      </c>
      <c r="D246" s="1" t="s">
        <v>446</v>
      </c>
      <c r="E246" s="1" t="s">
        <v>150</v>
      </c>
      <c r="F246" s="1"/>
      <c r="G246" s="1">
        <v>10</v>
      </c>
      <c r="H246" s="1">
        <v>455</v>
      </c>
      <c r="I246" s="10">
        <f t="shared" si="10"/>
        <v>4550</v>
      </c>
      <c r="J246" s="1">
        <v>5000</v>
      </c>
      <c r="K246" s="1">
        <v>1500</v>
      </c>
      <c r="L246" s="1">
        <f t="shared" si="12"/>
        <v>-1950</v>
      </c>
      <c r="M246" s="1"/>
      <c r="N246" s="1"/>
      <c r="O246" s="11">
        <f t="shared" si="11"/>
        <v>-1950</v>
      </c>
      <c r="P246" s="40"/>
      <c r="Q246" s="69" t="s">
        <v>524</v>
      </c>
      <c r="R246" s="1"/>
      <c r="S246" s="1"/>
      <c r="T246" s="1"/>
    </row>
    <row r="247" spans="1:20">
      <c r="A247" s="4">
        <v>258</v>
      </c>
      <c r="B247" s="1" t="s">
        <v>447</v>
      </c>
      <c r="C247" s="1" t="s">
        <v>445</v>
      </c>
      <c r="D247" s="1" t="s">
        <v>448</v>
      </c>
      <c r="E247" s="1" t="s">
        <v>150</v>
      </c>
      <c r="F247" s="1"/>
      <c r="G247" s="1">
        <v>10</v>
      </c>
      <c r="H247" s="1">
        <v>455</v>
      </c>
      <c r="I247" s="10">
        <f t="shared" si="10"/>
        <v>4550</v>
      </c>
      <c r="J247" s="1"/>
      <c r="K247" s="1"/>
      <c r="L247" s="1">
        <f t="shared" si="12"/>
        <v>4550</v>
      </c>
      <c r="M247" s="1"/>
      <c r="N247" s="1"/>
      <c r="O247" s="11">
        <f t="shared" si="11"/>
        <v>4550</v>
      </c>
      <c r="P247" s="40"/>
      <c r="Q247" s="69" t="s">
        <v>524</v>
      </c>
      <c r="R247" s="1"/>
      <c r="S247" s="1"/>
      <c r="T247" s="1"/>
    </row>
    <row r="248" spans="1:20">
      <c r="A248" s="4">
        <v>259</v>
      </c>
      <c r="B248" s="1" t="s">
        <v>449</v>
      </c>
      <c r="C248" s="1" t="s">
        <v>450</v>
      </c>
      <c r="D248" s="1" t="s">
        <v>181</v>
      </c>
      <c r="E248" s="1" t="s">
        <v>395</v>
      </c>
      <c r="F248" s="1"/>
      <c r="G248" s="1">
        <v>20</v>
      </c>
      <c r="H248" s="1">
        <v>322</v>
      </c>
      <c r="I248" s="10">
        <f t="shared" si="10"/>
        <v>6440</v>
      </c>
      <c r="J248" s="1"/>
      <c r="K248" s="1">
        <v>5000</v>
      </c>
      <c r="L248" s="1">
        <f t="shared" si="12"/>
        <v>1440</v>
      </c>
      <c r="M248" s="1"/>
      <c r="N248" s="1"/>
      <c r="O248" s="11">
        <f t="shared" si="11"/>
        <v>1440</v>
      </c>
      <c r="P248" s="40"/>
      <c r="Q248" s="69">
        <v>10</v>
      </c>
      <c r="R248" s="1"/>
      <c r="S248" s="1"/>
      <c r="T248" s="1"/>
    </row>
    <row r="249" spans="1:20">
      <c r="A249" s="4">
        <v>260</v>
      </c>
      <c r="B249" s="1" t="s">
        <v>451</v>
      </c>
      <c r="C249" s="1" t="s">
        <v>148</v>
      </c>
      <c r="D249" s="1" t="s">
        <v>452</v>
      </c>
      <c r="E249" s="1" t="s">
        <v>167</v>
      </c>
      <c r="F249" s="1"/>
      <c r="G249" s="1">
        <v>20</v>
      </c>
      <c r="H249" s="1">
        <v>377</v>
      </c>
      <c r="I249" s="10">
        <f t="shared" si="10"/>
        <v>7540</v>
      </c>
      <c r="J249" s="1">
        <v>4500</v>
      </c>
      <c r="K249" s="1">
        <v>1500</v>
      </c>
      <c r="L249" s="1">
        <f t="shared" si="12"/>
        <v>1540</v>
      </c>
      <c r="M249" s="1"/>
      <c r="N249" s="1"/>
      <c r="O249" s="11">
        <f t="shared" si="11"/>
        <v>1540</v>
      </c>
      <c r="P249" s="40"/>
      <c r="Q249" s="69">
        <v>11</v>
      </c>
      <c r="R249" s="1"/>
      <c r="S249" s="1"/>
      <c r="T249" s="1"/>
    </row>
    <row r="250" spans="1:20">
      <c r="A250" s="4">
        <v>262</v>
      </c>
      <c r="B250" s="1" t="s">
        <v>453</v>
      </c>
      <c r="C250" s="1" t="s">
        <v>313</v>
      </c>
      <c r="D250" s="1" t="s">
        <v>314</v>
      </c>
      <c r="E250" s="1" t="s">
        <v>304</v>
      </c>
      <c r="F250" s="1"/>
      <c r="G250" s="1">
        <v>12.5</v>
      </c>
      <c r="H250" s="1">
        <v>342</v>
      </c>
      <c r="I250" s="10">
        <f t="shared" si="10"/>
        <v>4275</v>
      </c>
      <c r="J250" s="1"/>
      <c r="K250" s="1">
        <v>5000</v>
      </c>
      <c r="L250" s="1">
        <f t="shared" si="12"/>
        <v>-725</v>
      </c>
      <c r="M250" s="1"/>
      <c r="N250" s="1"/>
      <c r="O250" s="11">
        <f t="shared" si="11"/>
        <v>-725</v>
      </c>
      <c r="P250" s="40"/>
      <c r="Q250" s="69">
        <v>11</v>
      </c>
      <c r="R250" s="1"/>
      <c r="S250" s="1"/>
      <c r="T250" s="1"/>
    </row>
    <row r="251" spans="1:20">
      <c r="A251" s="4">
        <v>261</v>
      </c>
      <c r="B251" s="1" t="s">
        <v>454</v>
      </c>
      <c r="C251" s="1" t="s">
        <v>313</v>
      </c>
      <c r="D251" s="1" t="s">
        <v>314</v>
      </c>
      <c r="E251" s="1" t="s">
        <v>304</v>
      </c>
      <c r="F251" s="1"/>
      <c r="G251" s="1">
        <v>12.5</v>
      </c>
      <c r="H251" s="1">
        <v>342</v>
      </c>
      <c r="I251" s="10">
        <f t="shared" si="10"/>
        <v>4275</v>
      </c>
      <c r="J251" s="1"/>
      <c r="K251" s="1"/>
      <c r="L251" s="1">
        <f t="shared" si="12"/>
        <v>4275</v>
      </c>
      <c r="M251" s="1"/>
      <c r="N251" s="1"/>
      <c r="O251" s="11">
        <f t="shared" si="11"/>
        <v>4275</v>
      </c>
      <c r="P251" s="40"/>
      <c r="Q251" s="69">
        <v>11</v>
      </c>
      <c r="R251" s="1"/>
      <c r="S251" s="1"/>
      <c r="T251" s="1"/>
    </row>
    <row r="252" spans="1:20">
      <c r="A252" s="4">
        <v>263</v>
      </c>
      <c r="B252" s="1" t="s">
        <v>455</v>
      </c>
      <c r="C252" s="1" t="s">
        <v>148</v>
      </c>
      <c r="D252" s="1" t="s">
        <v>456</v>
      </c>
      <c r="E252" s="1" t="s">
        <v>278</v>
      </c>
      <c r="F252" s="1"/>
      <c r="G252" s="1">
        <v>25</v>
      </c>
      <c r="H252" s="1">
        <v>346</v>
      </c>
      <c r="I252" s="10">
        <f t="shared" si="10"/>
        <v>8650</v>
      </c>
      <c r="J252" s="1">
        <v>4500</v>
      </c>
      <c r="K252" s="1">
        <v>1500</v>
      </c>
      <c r="L252" s="1">
        <f t="shared" si="12"/>
        <v>2650</v>
      </c>
      <c r="M252" s="1"/>
      <c r="N252" s="1"/>
      <c r="O252" s="11">
        <f t="shared" si="11"/>
        <v>2650</v>
      </c>
      <c r="P252" s="40"/>
      <c r="Q252" s="69">
        <v>10</v>
      </c>
      <c r="R252" s="1"/>
      <c r="S252" s="1"/>
      <c r="T252" s="1"/>
    </row>
    <row r="253" spans="1:20">
      <c r="A253" s="3">
        <v>264</v>
      </c>
      <c r="B253" s="27">
        <v>46195</v>
      </c>
      <c r="C253" s="1"/>
      <c r="D253" s="1" t="s">
        <v>475</v>
      </c>
      <c r="E253" s="1" t="s">
        <v>24</v>
      </c>
      <c r="F253" s="1" t="s">
        <v>529</v>
      </c>
      <c r="G253" s="1">
        <v>13</v>
      </c>
      <c r="H253" s="1">
        <v>306</v>
      </c>
      <c r="I253" s="10">
        <f t="shared" si="10"/>
        <v>3978</v>
      </c>
      <c r="J253" s="1"/>
      <c r="K253" s="1"/>
      <c r="L253" s="1">
        <f t="shared" si="12"/>
        <v>3978</v>
      </c>
      <c r="M253" s="1"/>
      <c r="N253" s="1"/>
      <c r="O253" s="11">
        <f t="shared" si="11"/>
        <v>3978</v>
      </c>
      <c r="P253" s="40"/>
      <c r="Q253" s="69">
        <v>11</v>
      </c>
      <c r="R253" s="1"/>
      <c r="S253" s="1"/>
      <c r="T253" s="1"/>
    </row>
    <row r="254" spans="1:20">
      <c r="A254" s="71">
        <v>265</v>
      </c>
      <c r="B254" s="72">
        <v>46195</v>
      </c>
      <c r="C254" s="1"/>
      <c r="D254" s="73"/>
      <c r="E254" s="78" t="s">
        <v>476</v>
      </c>
      <c r="F254" s="78"/>
      <c r="G254" s="73"/>
      <c r="H254" s="73"/>
      <c r="I254" s="74">
        <f t="shared" si="10"/>
        <v>0</v>
      </c>
      <c r="J254" s="73"/>
      <c r="K254" s="73"/>
      <c r="L254" s="73">
        <f t="shared" si="12"/>
        <v>0</v>
      </c>
      <c r="M254" s="73"/>
      <c r="N254" s="73"/>
      <c r="O254" s="75">
        <f t="shared" si="11"/>
        <v>0</v>
      </c>
      <c r="P254" s="76"/>
      <c r="Q254" s="77"/>
      <c r="R254" s="73"/>
      <c r="S254" s="73"/>
      <c r="T254" s="73"/>
    </row>
    <row r="255" spans="1:20">
      <c r="A255" s="71">
        <v>266</v>
      </c>
      <c r="B255" s="72">
        <v>46195</v>
      </c>
      <c r="C255" s="1"/>
      <c r="D255" s="73"/>
      <c r="E255" s="78" t="s">
        <v>476</v>
      </c>
      <c r="F255" s="78"/>
      <c r="G255" s="73"/>
      <c r="H255" s="73"/>
      <c r="I255" s="74">
        <f t="shared" si="10"/>
        <v>0</v>
      </c>
      <c r="J255" s="73"/>
      <c r="K255" s="73"/>
      <c r="L255" s="73">
        <f t="shared" si="12"/>
        <v>0</v>
      </c>
      <c r="M255" s="73"/>
      <c r="N255" s="73"/>
      <c r="O255" s="75">
        <f t="shared" si="11"/>
        <v>0</v>
      </c>
      <c r="P255" s="76"/>
      <c r="Q255" s="77"/>
      <c r="R255" s="73"/>
      <c r="S255" s="73"/>
      <c r="T255" s="73"/>
    </row>
    <row r="256" spans="1:20">
      <c r="A256" s="3">
        <v>267</v>
      </c>
      <c r="B256" s="27">
        <v>46196</v>
      </c>
      <c r="C256" s="1"/>
      <c r="D256" s="1" t="s">
        <v>215</v>
      </c>
      <c r="E256" s="1" t="s">
        <v>19</v>
      </c>
      <c r="F256" s="1" t="s">
        <v>529</v>
      </c>
      <c r="G256" s="1">
        <v>13</v>
      </c>
      <c r="H256" s="1">
        <v>418</v>
      </c>
      <c r="I256" s="10">
        <f t="shared" si="10"/>
        <v>5434</v>
      </c>
      <c r="J256" s="1"/>
      <c r="K256" s="1"/>
      <c r="L256" s="1">
        <f t="shared" si="12"/>
        <v>5434</v>
      </c>
      <c r="M256" s="1"/>
      <c r="N256" s="1"/>
      <c r="O256" s="11">
        <f t="shared" si="11"/>
        <v>5434</v>
      </c>
      <c r="P256" s="40" t="s">
        <v>497</v>
      </c>
      <c r="Q256" s="69"/>
      <c r="R256" s="1"/>
      <c r="S256" s="1"/>
      <c r="T256" s="1"/>
    </row>
    <row r="257" spans="1:20">
      <c r="A257" s="3">
        <v>268</v>
      </c>
      <c r="B257" s="27">
        <v>46196</v>
      </c>
      <c r="C257" s="1"/>
      <c r="D257" s="1" t="s">
        <v>38</v>
      </c>
      <c r="E257" s="1" t="s">
        <v>167</v>
      </c>
      <c r="F257" s="1"/>
      <c r="G257" s="1">
        <v>20</v>
      </c>
      <c r="H257" s="1">
        <v>383</v>
      </c>
      <c r="I257" s="10">
        <f t="shared" si="10"/>
        <v>7660</v>
      </c>
      <c r="J257" s="1"/>
      <c r="K257" s="1"/>
      <c r="L257" s="1">
        <f t="shared" si="12"/>
        <v>7660</v>
      </c>
      <c r="M257" s="1"/>
      <c r="N257" s="1"/>
      <c r="O257" s="11">
        <f t="shared" si="11"/>
        <v>7660</v>
      </c>
      <c r="P257" s="40"/>
      <c r="Q257" s="69">
        <v>11</v>
      </c>
      <c r="R257" s="1"/>
      <c r="S257" s="1"/>
      <c r="T257" s="1"/>
    </row>
    <row r="258" spans="1:20">
      <c r="A258" s="3">
        <v>269</v>
      </c>
      <c r="B258" s="27">
        <v>46196</v>
      </c>
      <c r="C258" s="1"/>
      <c r="D258" s="1" t="s">
        <v>477</v>
      </c>
      <c r="E258" s="1" t="s">
        <v>292</v>
      </c>
      <c r="F258" s="1"/>
      <c r="G258" s="1">
        <v>25</v>
      </c>
      <c r="H258" s="1">
        <v>357</v>
      </c>
      <c r="I258" s="10">
        <f t="shared" si="10"/>
        <v>8925</v>
      </c>
      <c r="J258" s="1"/>
      <c r="K258" s="1"/>
      <c r="L258" s="1">
        <f t="shared" si="12"/>
        <v>8925</v>
      </c>
      <c r="M258" s="1"/>
      <c r="N258" s="1"/>
      <c r="O258" s="11">
        <f t="shared" si="11"/>
        <v>8925</v>
      </c>
      <c r="P258" s="40"/>
      <c r="Q258" s="69">
        <v>11</v>
      </c>
      <c r="R258" s="1"/>
      <c r="S258" s="1"/>
      <c r="T258" s="1"/>
    </row>
    <row r="259" spans="1:20">
      <c r="A259" s="3">
        <v>270</v>
      </c>
      <c r="B259" s="27">
        <v>46196</v>
      </c>
      <c r="C259" s="1"/>
      <c r="D259" s="1" t="s">
        <v>378</v>
      </c>
      <c r="E259" s="1" t="s">
        <v>478</v>
      </c>
      <c r="F259" s="1" t="s">
        <v>532</v>
      </c>
      <c r="G259" s="1">
        <v>25</v>
      </c>
      <c r="H259" s="1">
        <v>348</v>
      </c>
      <c r="I259" s="10">
        <f t="shared" si="10"/>
        <v>8700</v>
      </c>
      <c r="J259" s="1"/>
      <c r="K259" s="1"/>
      <c r="L259" s="1">
        <f t="shared" si="12"/>
        <v>8700</v>
      </c>
      <c r="M259" s="1"/>
      <c r="N259" s="1"/>
      <c r="O259" s="11">
        <f t="shared" si="11"/>
        <v>8700</v>
      </c>
      <c r="P259" s="40"/>
      <c r="Q259" s="69">
        <v>11</v>
      </c>
      <c r="R259" s="1"/>
      <c r="S259" s="1"/>
      <c r="T259" s="1"/>
    </row>
    <row r="260" spans="1:20">
      <c r="A260" s="3">
        <v>271</v>
      </c>
      <c r="B260" s="27">
        <v>46196</v>
      </c>
      <c r="C260" s="1"/>
      <c r="D260" s="1" t="s">
        <v>378</v>
      </c>
      <c r="E260" s="1" t="s">
        <v>288</v>
      </c>
      <c r="F260" s="1"/>
      <c r="G260" s="1">
        <v>20</v>
      </c>
      <c r="H260" s="1">
        <v>399</v>
      </c>
      <c r="I260" s="10">
        <f t="shared" si="10"/>
        <v>7980</v>
      </c>
      <c r="J260" s="1"/>
      <c r="K260" s="1"/>
      <c r="L260" s="1">
        <f t="shared" si="12"/>
        <v>7980</v>
      </c>
      <c r="M260" s="1"/>
      <c r="N260" s="1"/>
      <c r="O260" s="11">
        <f t="shared" si="11"/>
        <v>7980</v>
      </c>
      <c r="P260" s="40"/>
      <c r="Q260" s="69">
        <v>11</v>
      </c>
      <c r="R260" s="1"/>
      <c r="S260" s="1"/>
      <c r="T260" s="1"/>
    </row>
    <row r="261" spans="1:20">
      <c r="A261" s="3">
        <v>272</v>
      </c>
      <c r="B261" s="27">
        <v>46196</v>
      </c>
      <c r="C261" s="1"/>
      <c r="D261" s="1" t="s">
        <v>59</v>
      </c>
      <c r="E261" s="1" t="s">
        <v>224</v>
      </c>
      <c r="F261" s="1"/>
      <c r="G261" s="1">
        <v>25</v>
      </c>
      <c r="H261" s="1">
        <v>206</v>
      </c>
      <c r="I261" s="10">
        <f t="shared" si="10"/>
        <v>5150</v>
      </c>
      <c r="J261" s="1"/>
      <c r="K261" s="1"/>
      <c r="L261" s="1">
        <f t="shared" si="12"/>
        <v>5150</v>
      </c>
      <c r="M261" s="1"/>
      <c r="N261" s="1"/>
      <c r="O261" s="11">
        <f t="shared" si="11"/>
        <v>5150</v>
      </c>
      <c r="P261" s="40"/>
      <c r="Q261" s="69"/>
      <c r="R261" s="1"/>
      <c r="S261" s="1"/>
      <c r="T261" s="1"/>
    </row>
    <row r="262" spans="1:20">
      <c r="A262" s="3">
        <v>273</v>
      </c>
      <c r="B262" s="27">
        <v>46196</v>
      </c>
      <c r="C262" s="1"/>
      <c r="D262" s="1" t="s">
        <v>479</v>
      </c>
      <c r="E262" s="1" t="s">
        <v>14</v>
      </c>
      <c r="F262" s="1" t="s">
        <v>529</v>
      </c>
      <c r="G262" s="1">
        <v>10</v>
      </c>
      <c r="H262" s="1">
        <v>435</v>
      </c>
      <c r="I262" s="10">
        <f t="shared" ref="I262:I325" si="13">H262*G262</f>
        <v>4350</v>
      </c>
      <c r="J262" s="1"/>
      <c r="K262" s="1"/>
      <c r="L262" s="1">
        <f t="shared" si="12"/>
        <v>4350</v>
      </c>
      <c r="M262" s="1"/>
      <c r="N262" s="1"/>
      <c r="O262" s="11">
        <f t="shared" ref="O262:O325" si="14">L262-M262-N262</f>
        <v>4350</v>
      </c>
      <c r="P262" s="40"/>
      <c r="Q262" s="69">
        <v>11</v>
      </c>
      <c r="R262" s="1"/>
      <c r="S262" s="1"/>
      <c r="T262" s="1"/>
    </row>
    <row r="263" spans="1:20">
      <c r="A263" s="3">
        <v>274</v>
      </c>
      <c r="B263" s="27">
        <v>46196</v>
      </c>
      <c r="C263" s="1"/>
      <c r="D263" s="1" t="s">
        <v>93</v>
      </c>
      <c r="E263" s="1" t="s">
        <v>14</v>
      </c>
      <c r="F263" s="1" t="s">
        <v>529</v>
      </c>
      <c r="G263" s="1">
        <v>10</v>
      </c>
      <c r="H263" s="1">
        <v>455</v>
      </c>
      <c r="I263" s="10">
        <f t="shared" si="13"/>
        <v>4550</v>
      </c>
      <c r="J263" s="1"/>
      <c r="K263" s="1"/>
      <c r="L263" s="1">
        <f t="shared" si="12"/>
        <v>4550</v>
      </c>
      <c r="M263" s="1"/>
      <c r="N263" s="1"/>
      <c r="O263" s="11">
        <f t="shared" si="14"/>
        <v>4550</v>
      </c>
      <c r="P263" s="40"/>
      <c r="Q263" s="69">
        <v>11</v>
      </c>
      <c r="R263" s="1"/>
      <c r="S263" s="1"/>
      <c r="T263" s="1"/>
    </row>
    <row r="264" spans="1:20">
      <c r="A264" s="3">
        <v>275</v>
      </c>
      <c r="B264" s="27">
        <v>46196</v>
      </c>
      <c r="C264" s="1"/>
      <c r="D264" s="1" t="s">
        <v>480</v>
      </c>
      <c r="E264" s="1" t="s">
        <v>395</v>
      </c>
      <c r="F264" s="1"/>
      <c r="G264" s="1">
        <v>20</v>
      </c>
      <c r="H264" s="1">
        <v>349</v>
      </c>
      <c r="I264" s="10">
        <f t="shared" si="13"/>
        <v>6980</v>
      </c>
      <c r="J264" s="1"/>
      <c r="K264" s="1"/>
      <c r="L264" s="1">
        <f t="shared" ref="L264:L327" si="15">I264-J264-K264</f>
        <v>6980</v>
      </c>
      <c r="M264" s="1"/>
      <c r="N264" s="1"/>
      <c r="O264" s="11">
        <f t="shared" si="14"/>
        <v>6980</v>
      </c>
      <c r="P264" s="40" t="s">
        <v>497</v>
      </c>
      <c r="Q264" s="69"/>
      <c r="R264" s="1"/>
      <c r="S264" s="1"/>
      <c r="T264" s="1"/>
    </row>
    <row r="265" spans="1:20">
      <c r="A265" s="3">
        <v>276</v>
      </c>
      <c r="B265" s="27">
        <v>46196</v>
      </c>
      <c r="C265" s="1"/>
      <c r="D265" s="1" t="s">
        <v>51</v>
      </c>
      <c r="E265" s="1" t="s">
        <v>278</v>
      </c>
      <c r="F265" s="1"/>
      <c r="G265" s="1">
        <v>25</v>
      </c>
      <c r="H265" s="1">
        <v>304</v>
      </c>
      <c r="I265" s="10">
        <f t="shared" si="13"/>
        <v>7600</v>
      </c>
      <c r="J265" s="1"/>
      <c r="K265" s="1"/>
      <c r="L265" s="1">
        <f t="shared" si="15"/>
        <v>7600</v>
      </c>
      <c r="M265" s="1"/>
      <c r="N265" s="1"/>
      <c r="O265" s="11">
        <f t="shared" si="14"/>
        <v>7600</v>
      </c>
      <c r="P265" s="40"/>
      <c r="Q265" s="69">
        <v>10</v>
      </c>
      <c r="R265" s="1"/>
      <c r="S265" s="1"/>
      <c r="T265" s="1"/>
    </row>
    <row r="266" spans="1:20">
      <c r="A266" s="3">
        <v>277</v>
      </c>
      <c r="B266" s="27">
        <v>46196</v>
      </c>
      <c r="C266" s="1"/>
      <c r="D266" s="1" t="s">
        <v>181</v>
      </c>
      <c r="E266" s="1" t="s">
        <v>304</v>
      </c>
      <c r="F266" s="1"/>
      <c r="G266" s="1">
        <v>25</v>
      </c>
      <c r="H266" s="1">
        <v>298</v>
      </c>
      <c r="I266" s="10">
        <f t="shared" si="13"/>
        <v>7450</v>
      </c>
      <c r="J266" s="1"/>
      <c r="K266" s="1"/>
      <c r="L266" s="1">
        <f t="shared" si="15"/>
        <v>7450</v>
      </c>
      <c r="M266" s="1"/>
      <c r="N266" s="1"/>
      <c r="O266" s="11">
        <f t="shared" si="14"/>
        <v>7450</v>
      </c>
      <c r="P266" s="40"/>
      <c r="Q266" s="69">
        <v>11</v>
      </c>
      <c r="R266" s="1"/>
      <c r="S266" s="1"/>
      <c r="T266" s="1"/>
    </row>
    <row r="267" spans="1:20">
      <c r="A267" s="3">
        <v>278</v>
      </c>
      <c r="B267" s="27">
        <v>46196</v>
      </c>
      <c r="C267" s="1"/>
      <c r="D267" s="33" t="s">
        <v>273</v>
      </c>
      <c r="E267" s="33" t="s">
        <v>9</v>
      </c>
      <c r="F267" s="33"/>
      <c r="G267" s="1">
        <v>13</v>
      </c>
      <c r="H267" s="1">
        <v>447</v>
      </c>
      <c r="I267" s="10">
        <f t="shared" si="13"/>
        <v>5811</v>
      </c>
      <c r="J267" s="1"/>
      <c r="K267" s="1"/>
      <c r="L267" s="1">
        <f t="shared" si="15"/>
        <v>5811</v>
      </c>
      <c r="M267" s="1"/>
      <c r="N267" s="1"/>
      <c r="O267" s="11">
        <f t="shared" si="14"/>
        <v>5811</v>
      </c>
      <c r="P267" s="40" t="s">
        <v>497</v>
      </c>
      <c r="Q267" s="69"/>
      <c r="R267" s="1"/>
      <c r="S267" s="1"/>
      <c r="T267" s="1"/>
    </row>
    <row r="268" spans="1:20">
      <c r="A268" s="3">
        <v>279</v>
      </c>
      <c r="B268" s="1"/>
      <c r="C268" s="1"/>
      <c r="D268" s="1"/>
      <c r="E268" s="1"/>
      <c r="F268" s="1"/>
      <c r="G268" s="1"/>
      <c r="H268" s="1"/>
      <c r="I268" s="10">
        <f t="shared" si="13"/>
        <v>0</v>
      </c>
      <c r="J268" s="1"/>
      <c r="K268" s="1"/>
      <c r="L268" s="1">
        <f t="shared" si="15"/>
        <v>0</v>
      </c>
      <c r="M268" s="1"/>
      <c r="N268" s="1"/>
      <c r="O268" s="11">
        <f t="shared" si="14"/>
        <v>0</v>
      </c>
      <c r="P268" s="40" t="s">
        <v>497</v>
      </c>
      <c r="Q268" s="69"/>
      <c r="R268" s="1"/>
      <c r="S268" s="1"/>
      <c r="T268" s="1"/>
    </row>
    <row r="269" spans="1:20">
      <c r="A269" s="3"/>
      <c r="B269" s="1"/>
      <c r="C269" s="1"/>
      <c r="D269" s="1"/>
      <c r="E269" s="1"/>
      <c r="F269" s="1"/>
      <c r="G269" s="1"/>
      <c r="H269" s="1"/>
      <c r="I269" s="10">
        <f t="shared" si="13"/>
        <v>0</v>
      </c>
      <c r="J269" s="1"/>
      <c r="K269" s="1"/>
      <c r="L269" s="1">
        <f t="shared" si="15"/>
        <v>0</v>
      </c>
      <c r="M269" s="1"/>
      <c r="N269" s="1"/>
      <c r="O269" s="11">
        <f t="shared" si="14"/>
        <v>0</v>
      </c>
      <c r="P269" s="40"/>
      <c r="Q269" s="69"/>
      <c r="R269" s="1"/>
      <c r="S269" s="1"/>
      <c r="T269" s="1"/>
    </row>
    <row r="270" spans="1:20">
      <c r="A270" s="3"/>
      <c r="B270" s="1"/>
      <c r="C270" s="1"/>
      <c r="D270" s="1"/>
      <c r="E270" s="1"/>
      <c r="F270" s="1"/>
      <c r="G270" s="1"/>
      <c r="H270" s="1"/>
      <c r="I270" s="10">
        <f t="shared" si="13"/>
        <v>0</v>
      </c>
      <c r="J270" s="1"/>
      <c r="K270" s="1"/>
      <c r="L270" s="1">
        <f t="shared" si="15"/>
        <v>0</v>
      </c>
      <c r="M270" s="1"/>
      <c r="N270" s="1"/>
      <c r="O270" s="11">
        <f t="shared" si="14"/>
        <v>0</v>
      </c>
      <c r="P270" s="40"/>
      <c r="Q270" s="69"/>
      <c r="R270" s="1"/>
      <c r="S270" s="1"/>
      <c r="T270" s="1"/>
    </row>
    <row r="271" spans="1:20">
      <c r="A271" s="3"/>
      <c r="B271" s="1"/>
      <c r="C271" s="1"/>
      <c r="D271" s="1"/>
      <c r="E271" s="1"/>
      <c r="F271" s="1"/>
      <c r="G271" s="1"/>
      <c r="H271" s="1"/>
      <c r="I271" s="10">
        <f t="shared" si="13"/>
        <v>0</v>
      </c>
      <c r="J271" s="1"/>
      <c r="K271" s="1"/>
      <c r="L271" s="1">
        <f t="shared" si="15"/>
        <v>0</v>
      </c>
      <c r="M271" s="1"/>
      <c r="N271" s="1"/>
      <c r="O271" s="11">
        <f t="shared" si="14"/>
        <v>0</v>
      </c>
      <c r="P271" s="40"/>
      <c r="Q271" s="69"/>
      <c r="R271" s="1"/>
      <c r="S271" s="1"/>
      <c r="T271" s="1"/>
    </row>
    <row r="272" spans="1:20">
      <c r="A272" s="3"/>
      <c r="B272" s="1"/>
      <c r="C272" s="1"/>
      <c r="D272" s="1"/>
      <c r="E272" s="1"/>
      <c r="F272" s="1"/>
      <c r="G272" s="1"/>
      <c r="H272" s="1"/>
      <c r="I272" s="10">
        <f t="shared" si="13"/>
        <v>0</v>
      </c>
      <c r="J272" s="1"/>
      <c r="K272" s="1"/>
      <c r="L272" s="1">
        <f t="shared" si="15"/>
        <v>0</v>
      </c>
      <c r="M272" s="1"/>
      <c r="N272" s="1"/>
      <c r="O272" s="11">
        <f t="shared" si="14"/>
        <v>0</v>
      </c>
      <c r="P272" s="40"/>
      <c r="Q272" s="69"/>
      <c r="R272" s="1"/>
      <c r="S272" s="1"/>
      <c r="T272" s="1"/>
    </row>
    <row r="273" spans="1:20">
      <c r="A273" s="3"/>
      <c r="B273" s="1"/>
      <c r="C273" s="1"/>
      <c r="D273" s="1"/>
      <c r="E273" s="1"/>
      <c r="F273" s="1"/>
      <c r="G273" s="1"/>
      <c r="H273" s="1"/>
      <c r="I273" s="10">
        <f t="shared" si="13"/>
        <v>0</v>
      </c>
      <c r="J273" s="1"/>
      <c r="K273" s="1"/>
      <c r="L273" s="1">
        <f t="shared" si="15"/>
        <v>0</v>
      </c>
      <c r="M273" s="1"/>
      <c r="N273" s="1"/>
      <c r="O273" s="11">
        <f t="shared" si="14"/>
        <v>0</v>
      </c>
      <c r="P273" s="40"/>
      <c r="Q273" s="69"/>
      <c r="R273" s="1"/>
      <c r="S273" s="1"/>
      <c r="T273" s="1"/>
    </row>
    <row r="274" spans="1:20">
      <c r="A274" s="3"/>
      <c r="B274" s="1"/>
      <c r="C274" s="1"/>
      <c r="D274" s="1"/>
      <c r="E274" s="1"/>
      <c r="F274" s="1"/>
      <c r="G274" s="1"/>
      <c r="H274" s="1"/>
      <c r="I274" s="10">
        <f t="shared" si="13"/>
        <v>0</v>
      </c>
      <c r="J274" s="1"/>
      <c r="K274" s="1"/>
      <c r="L274" s="1">
        <f t="shared" si="15"/>
        <v>0</v>
      </c>
      <c r="M274" s="1"/>
      <c r="N274" s="1"/>
      <c r="O274" s="11">
        <f t="shared" si="14"/>
        <v>0</v>
      </c>
      <c r="P274" s="40"/>
      <c r="Q274" s="69"/>
      <c r="R274" s="1"/>
      <c r="S274" s="1"/>
      <c r="T274" s="1"/>
    </row>
    <row r="275" spans="1:20">
      <c r="A275" s="3"/>
      <c r="B275" s="1"/>
      <c r="C275" s="1"/>
      <c r="D275" s="1"/>
      <c r="E275" s="1"/>
      <c r="F275" s="1"/>
      <c r="G275" s="1"/>
      <c r="H275" s="1"/>
      <c r="I275" s="10">
        <f t="shared" si="13"/>
        <v>0</v>
      </c>
      <c r="J275" s="1"/>
      <c r="K275" s="1"/>
      <c r="L275" s="1">
        <f t="shared" si="15"/>
        <v>0</v>
      </c>
      <c r="M275" s="1"/>
      <c r="N275" s="1"/>
      <c r="O275" s="11">
        <f t="shared" si="14"/>
        <v>0</v>
      </c>
      <c r="P275" s="40"/>
      <c r="Q275" s="69"/>
      <c r="R275" s="1"/>
      <c r="S275" s="1"/>
      <c r="T275" s="1"/>
    </row>
    <row r="276" spans="1:20">
      <c r="A276" s="3"/>
      <c r="B276" s="1"/>
      <c r="C276" s="1"/>
      <c r="D276" s="1"/>
      <c r="E276" s="1"/>
      <c r="F276" s="1"/>
      <c r="G276" s="1"/>
      <c r="H276" s="1"/>
      <c r="I276" s="10">
        <f t="shared" si="13"/>
        <v>0</v>
      </c>
      <c r="J276" s="1"/>
      <c r="K276" s="1"/>
      <c r="L276" s="1">
        <f t="shared" si="15"/>
        <v>0</v>
      </c>
      <c r="M276" s="1"/>
      <c r="N276" s="1"/>
      <c r="O276" s="11">
        <f t="shared" si="14"/>
        <v>0</v>
      </c>
      <c r="P276" s="40"/>
      <c r="Q276" s="69"/>
      <c r="R276" s="1"/>
      <c r="S276" s="1"/>
      <c r="T276" s="1"/>
    </row>
    <row r="277" spans="1:20">
      <c r="A277" s="3"/>
      <c r="B277" s="1"/>
      <c r="C277" s="1"/>
      <c r="D277" s="1"/>
      <c r="E277" s="1"/>
      <c r="F277" s="1"/>
      <c r="G277" s="1"/>
      <c r="H277" s="1"/>
      <c r="I277" s="10">
        <f t="shared" si="13"/>
        <v>0</v>
      </c>
      <c r="J277" s="1"/>
      <c r="K277" s="1"/>
      <c r="L277" s="1">
        <f t="shared" si="15"/>
        <v>0</v>
      </c>
      <c r="M277" s="1"/>
      <c r="N277" s="1"/>
      <c r="O277" s="11">
        <f t="shared" si="14"/>
        <v>0</v>
      </c>
      <c r="P277" s="40"/>
      <c r="Q277" s="69"/>
      <c r="R277" s="1"/>
      <c r="S277" s="1"/>
      <c r="T277" s="1"/>
    </row>
    <row r="278" spans="1:20">
      <c r="A278" s="3"/>
      <c r="B278" s="1"/>
      <c r="C278" s="1"/>
      <c r="D278" s="1"/>
      <c r="E278" s="1"/>
      <c r="F278" s="1"/>
      <c r="G278" s="1"/>
      <c r="H278" s="1"/>
      <c r="I278" s="10">
        <f t="shared" si="13"/>
        <v>0</v>
      </c>
      <c r="J278" s="1"/>
      <c r="K278" s="1"/>
      <c r="L278" s="1">
        <f t="shared" si="15"/>
        <v>0</v>
      </c>
      <c r="M278" s="1"/>
      <c r="N278" s="1"/>
      <c r="O278" s="11">
        <f t="shared" si="14"/>
        <v>0</v>
      </c>
      <c r="P278" s="40"/>
      <c r="Q278" s="69"/>
      <c r="R278" s="1"/>
      <c r="S278" s="1"/>
      <c r="T278" s="1"/>
    </row>
    <row r="279" spans="1:20">
      <c r="A279" s="3"/>
      <c r="B279" s="1"/>
      <c r="C279" s="1"/>
      <c r="D279" s="1"/>
      <c r="E279" s="1"/>
      <c r="F279" s="1"/>
      <c r="G279" s="1"/>
      <c r="H279" s="1"/>
      <c r="I279" s="10">
        <f t="shared" si="13"/>
        <v>0</v>
      </c>
      <c r="J279" s="1"/>
      <c r="K279" s="1"/>
      <c r="L279" s="1">
        <f t="shared" si="15"/>
        <v>0</v>
      </c>
      <c r="M279" s="1"/>
      <c r="N279" s="1"/>
      <c r="O279" s="11">
        <f t="shared" si="14"/>
        <v>0</v>
      </c>
      <c r="P279" s="40"/>
      <c r="Q279" s="69"/>
      <c r="R279" s="1"/>
      <c r="S279" s="1"/>
      <c r="T279" s="1"/>
    </row>
    <row r="280" spans="1:20">
      <c r="A280" s="3"/>
      <c r="B280" s="1"/>
      <c r="C280" s="1"/>
      <c r="D280" s="1"/>
      <c r="E280" s="1"/>
      <c r="F280" s="1"/>
      <c r="G280" s="1"/>
      <c r="H280" s="1"/>
      <c r="I280" s="10">
        <f t="shared" si="13"/>
        <v>0</v>
      </c>
      <c r="J280" s="1"/>
      <c r="K280" s="1"/>
      <c r="L280" s="1">
        <f t="shared" si="15"/>
        <v>0</v>
      </c>
      <c r="M280" s="1"/>
      <c r="N280" s="1"/>
      <c r="O280" s="11">
        <f t="shared" si="14"/>
        <v>0</v>
      </c>
      <c r="P280" s="40"/>
      <c r="Q280" s="69"/>
      <c r="R280" s="1"/>
      <c r="S280" s="1"/>
      <c r="T280" s="1"/>
    </row>
    <row r="281" spans="1:20">
      <c r="A281" s="3"/>
      <c r="B281" s="1"/>
      <c r="C281" s="1"/>
      <c r="D281" s="1"/>
      <c r="E281" s="1"/>
      <c r="F281" s="1"/>
      <c r="G281" s="1"/>
      <c r="H281" s="1"/>
      <c r="I281" s="10">
        <f t="shared" si="13"/>
        <v>0</v>
      </c>
      <c r="J281" s="1"/>
      <c r="K281" s="1"/>
      <c r="L281" s="1">
        <f t="shared" si="15"/>
        <v>0</v>
      </c>
      <c r="M281" s="1"/>
      <c r="N281" s="1"/>
      <c r="O281" s="11">
        <f t="shared" si="14"/>
        <v>0</v>
      </c>
      <c r="P281" s="40"/>
      <c r="Q281" s="69"/>
      <c r="R281" s="1"/>
      <c r="S281" s="1"/>
      <c r="T281" s="1"/>
    </row>
    <row r="282" spans="1:20">
      <c r="A282" s="3"/>
      <c r="B282" s="1"/>
      <c r="C282" s="1"/>
      <c r="D282" s="1"/>
      <c r="E282" s="1"/>
      <c r="F282" s="1"/>
      <c r="G282" s="1"/>
      <c r="H282" s="1"/>
      <c r="I282" s="10">
        <f t="shared" si="13"/>
        <v>0</v>
      </c>
      <c r="J282" s="1"/>
      <c r="K282" s="1"/>
      <c r="L282" s="1">
        <f t="shared" si="15"/>
        <v>0</v>
      </c>
      <c r="M282" s="1"/>
      <c r="N282" s="1"/>
      <c r="O282" s="11">
        <f t="shared" si="14"/>
        <v>0</v>
      </c>
      <c r="P282" s="40"/>
      <c r="Q282" s="69"/>
      <c r="R282" s="1"/>
      <c r="S282" s="1"/>
      <c r="T282" s="1"/>
    </row>
    <row r="283" spans="1:20">
      <c r="A283" s="3"/>
      <c r="B283" s="1"/>
      <c r="C283" s="1"/>
      <c r="D283" s="1"/>
      <c r="E283" s="1"/>
      <c r="F283" s="1"/>
      <c r="G283" s="1"/>
      <c r="H283" s="1"/>
      <c r="I283" s="10">
        <f t="shared" si="13"/>
        <v>0</v>
      </c>
      <c r="J283" s="1"/>
      <c r="K283" s="1"/>
      <c r="L283" s="1">
        <f t="shared" si="15"/>
        <v>0</v>
      </c>
      <c r="M283" s="1"/>
      <c r="N283" s="1"/>
      <c r="O283" s="11">
        <f t="shared" si="14"/>
        <v>0</v>
      </c>
      <c r="P283" s="40"/>
      <c r="Q283" s="69"/>
      <c r="R283" s="1"/>
      <c r="S283" s="1"/>
      <c r="T283" s="1"/>
    </row>
    <row r="284" spans="1:20">
      <c r="A284" s="3"/>
      <c r="B284" s="1"/>
      <c r="C284" s="1"/>
      <c r="D284" s="1"/>
      <c r="E284" s="1"/>
      <c r="F284" s="1"/>
      <c r="G284" s="1"/>
      <c r="H284" s="1"/>
      <c r="I284" s="10">
        <f t="shared" si="13"/>
        <v>0</v>
      </c>
      <c r="J284" s="1"/>
      <c r="K284" s="1"/>
      <c r="L284" s="1">
        <f t="shared" si="15"/>
        <v>0</v>
      </c>
      <c r="M284" s="1"/>
      <c r="N284" s="1"/>
      <c r="O284" s="11">
        <f t="shared" si="14"/>
        <v>0</v>
      </c>
      <c r="P284" s="40"/>
      <c r="Q284" s="69"/>
      <c r="R284" s="1"/>
      <c r="S284" s="1"/>
      <c r="T284" s="1"/>
    </row>
    <row r="285" spans="1:20">
      <c r="A285" s="3"/>
      <c r="B285" s="1"/>
      <c r="C285" s="1"/>
      <c r="D285" s="1"/>
      <c r="E285" s="1"/>
      <c r="F285" s="1"/>
      <c r="G285" s="1"/>
      <c r="H285" s="1"/>
      <c r="I285" s="10">
        <f t="shared" si="13"/>
        <v>0</v>
      </c>
      <c r="J285" s="1"/>
      <c r="K285" s="1"/>
      <c r="L285" s="1">
        <f t="shared" si="15"/>
        <v>0</v>
      </c>
      <c r="M285" s="1"/>
      <c r="N285" s="1"/>
      <c r="O285" s="11">
        <f t="shared" si="14"/>
        <v>0</v>
      </c>
      <c r="P285" s="40"/>
      <c r="Q285" s="69"/>
      <c r="R285" s="1"/>
      <c r="S285" s="1"/>
      <c r="T285" s="1"/>
    </row>
    <row r="286" spans="1:20">
      <c r="A286" s="3"/>
      <c r="B286" s="1"/>
      <c r="C286" s="1"/>
      <c r="D286" s="1"/>
      <c r="E286" s="1"/>
      <c r="F286" s="1"/>
      <c r="G286" s="1"/>
      <c r="H286" s="1"/>
      <c r="I286" s="10">
        <f t="shared" si="13"/>
        <v>0</v>
      </c>
      <c r="J286" s="1"/>
      <c r="K286" s="1"/>
      <c r="L286" s="1">
        <f t="shared" si="15"/>
        <v>0</v>
      </c>
      <c r="M286" s="1"/>
      <c r="N286" s="1"/>
      <c r="O286" s="11">
        <f t="shared" si="14"/>
        <v>0</v>
      </c>
      <c r="P286" s="40"/>
      <c r="Q286" s="69"/>
      <c r="R286" s="1"/>
      <c r="S286" s="1"/>
      <c r="T286" s="1"/>
    </row>
    <row r="287" spans="1:20">
      <c r="A287" s="3"/>
      <c r="B287" s="1"/>
      <c r="C287" s="1"/>
      <c r="D287" s="1"/>
      <c r="E287" s="1"/>
      <c r="F287" s="1"/>
      <c r="G287" s="1"/>
      <c r="H287" s="1"/>
      <c r="I287" s="10">
        <f t="shared" si="13"/>
        <v>0</v>
      </c>
      <c r="J287" s="1"/>
      <c r="K287" s="1"/>
      <c r="L287" s="1">
        <f t="shared" si="15"/>
        <v>0</v>
      </c>
      <c r="M287" s="1"/>
      <c r="N287" s="1"/>
      <c r="O287" s="11">
        <f t="shared" si="14"/>
        <v>0</v>
      </c>
      <c r="P287" s="40"/>
      <c r="Q287" s="69"/>
      <c r="R287" s="1"/>
      <c r="S287" s="1"/>
      <c r="T287" s="1"/>
    </row>
    <row r="288" spans="1:20">
      <c r="A288" s="3"/>
      <c r="B288" s="1"/>
      <c r="C288" s="1"/>
      <c r="D288" s="1"/>
      <c r="E288" s="1"/>
      <c r="F288" s="1"/>
      <c r="G288" s="1"/>
      <c r="H288" s="1"/>
      <c r="I288" s="10">
        <f t="shared" si="13"/>
        <v>0</v>
      </c>
      <c r="J288" s="1"/>
      <c r="K288" s="1"/>
      <c r="L288" s="1">
        <f t="shared" si="15"/>
        <v>0</v>
      </c>
      <c r="M288" s="1"/>
      <c r="N288" s="1"/>
      <c r="O288" s="11">
        <f t="shared" si="14"/>
        <v>0</v>
      </c>
      <c r="P288" s="40"/>
      <c r="Q288" s="69"/>
      <c r="R288" s="1"/>
      <c r="S288" s="1"/>
      <c r="T288" s="1"/>
    </row>
    <row r="289" spans="1:20">
      <c r="A289" s="3"/>
      <c r="B289" s="1"/>
      <c r="C289" s="1"/>
      <c r="D289" s="1"/>
      <c r="E289" s="1"/>
      <c r="F289" s="1"/>
      <c r="G289" s="1"/>
      <c r="H289" s="1"/>
      <c r="I289" s="10">
        <f t="shared" si="13"/>
        <v>0</v>
      </c>
      <c r="J289" s="1"/>
      <c r="K289" s="1"/>
      <c r="L289" s="1">
        <f t="shared" si="15"/>
        <v>0</v>
      </c>
      <c r="M289" s="1"/>
      <c r="N289" s="1"/>
      <c r="O289" s="11">
        <f t="shared" si="14"/>
        <v>0</v>
      </c>
      <c r="P289" s="40"/>
      <c r="Q289" s="69"/>
      <c r="R289" s="1"/>
      <c r="S289" s="1"/>
      <c r="T289" s="1"/>
    </row>
    <row r="290" spans="1:20">
      <c r="A290" s="3"/>
      <c r="B290" s="1"/>
      <c r="C290" s="1"/>
      <c r="D290" s="1"/>
      <c r="E290" s="1"/>
      <c r="F290" s="1"/>
      <c r="G290" s="1"/>
      <c r="H290" s="1"/>
      <c r="I290" s="10">
        <f t="shared" si="13"/>
        <v>0</v>
      </c>
      <c r="J290" s="1"/>
      <c r="K290" s="1"/>
      <c r="L290" s="1">
        <f t="shared" si="15"/>
        <v>0</v>
      </c>
      <c r="M290" s="1"/>
      <c r="N290" s="1"/>
      <c r="O290" s="11">
        <f t="shared" si="14"/>
        <v>0</v>
      </c>
      <c r="P290" s="40"/>
      <c r="Q290" s="69"/>
      <c r="R290" s="1"/>
      <c r="S290" s="1"/>
      <c r="T290" s="1"/>
    </row>
    <row r="291" spans="1:20">
      <c r="A291" s="3"/>
      <c r="B291" s="1"/>
      <c r="C291" s="1"/>
      <c r="D291" s="1"/>
      <c r="E291" s="1"/>
      <c r="F291" s="1"/>
      <c r="G291" s="1"/>
      <c r="H291" s="1"/>
      <c r="I291" s="10">
        <f t="shared" si="13"/>
        <v>0</v>
      </c>
      <c r="J291" s="1"/>
      <c r="K291" s="1"/>
      <c r="L291" s="1">
        <f t="shared" si="15"/>
        <v>0</v>
      </c>
      <c r="M291" s="1"/>
      <c r="N291" s="1"/>
      <c r="O291" s="11">
        <f t="shared" si="14"/>
        <v>0</v>
      </c>
      <c r="P291" s="40"/>
      <c r="Q291" s="69"/>
      <c r="R291" s="1"/>
      <c r="S291" s="1"/>
      <c r="T291" s="1"/>
    </row>
    <row r="292" spans="1:20">
      <c r="A292" s="3"/>
      <c r="B292" s="1"/>
      <c r="C292" s="1"/>
      <c r="D292" s="1"/>
      <c r="E292" s="1"/>
      <c r="F292" s="1"/>
      <c r="G292" s="1"/>
      <c r="H292" s="1"/>
      <c r="I292" s="10">
        <f t="shared" si="13"/>
        <v>0</v>
      </c>
      <c r="J292" s="1"/>
      <c r="K292" s="1"/>
      <c r="L292" s="1">
        <f t="shared" si="15"/>
        <v>0</v>
      </c>
      <c r="M292" s="1"/>
      <c r="N292" s="1"/>
      <c r="O292" s="11">
        <f t="shared" si="14"/>
        <v>0</v>
      </c>
      <c r="P292" s="40"/>
      <c r="Q292" s="69"/>
      <c r="R292" s="1"/>
      <c r="S292" s="1"/>
      <c r="T292" s="1"/>
    </row>
    <row r="293" spans="1:20">
      <c r="A293" s="3"/>
      <c r="B293" s="1"/>
      <c r="C293" s="1"/>
      <c r="D293" s="1"/>
      <c r="E293" s="1"/>
      <c r="F293" s="1"/>
      <c r="G293" s="1"/>
      <c r="H293" s="1"/>
      <c r="I293" s="10">
        <f t="shared" si="13"/>
        <v>0</v>
      </c>
      <c r="J293" s="1"/>
      <c r="K293" s="1"/>
      <c r="L293" s="1">
        <f t="shared" si="15"/>
        <v>0</v>
      </c>
      <c r="M293" s="1"/>
      <c r="N293" s="1"/>
      <c r="O293" s="11">
        <f t="shared" si="14"/>
        <v>0</v>
      </c>
      <c r="P293" s="40"/>
      <c r="Q293" s="69"/>
      <c r="R293" s="1"/>
      <c r="S293" s="1"/>
      <c r="T293" s="1"/>
    </row>
    <row r="294" spans="1:20">
      <c r="A294" s="3"/>
      <c r="B294" s="1"/>
      <c r="C294" s="1"/>
      <c r="D294" s="1"/>
      <c r="E294" s="1"/>
      <c r="F294" s="1"/>
      <c r="G294" s="1"/>
      <c r="H294" s="1"/>
      <c r="I294" s="10">
        <f t="shared" si="13"/>
        <v>0</v>
      </c>
      <c r="J294" s="1"/>
      <c r="K294" s="1"/>
      <c r="L294" s="1">
        <f t="shared" si="15"/>
        <v>0</v>
      </c>
      <c r="M294" s="1"/>
      <c r="N294" s="1"/>
      <c r="O294" s="11">
        <f t="shared" si="14"/>
        <v>0</v>
      </c>
      <c r="P294" s="40"/>
      <c r="Q294" s="69"/>
      <c r="R294" s="1"/>
      <c r="S294" s="1"/>
      <c r="T294" s="1"/>
    </row>
    <row r="295" spans="1:20">
      <c r="A295" s="3"/>
      <c r="B295" s="1"/>
      <c r="C295" s="1"/>
      <c r="D295" s="1"/>
      <c r="E295" s="1"/>
      <c r="F295" s="1"/>
      <c r="G295" s="1"/>
      <c r="H295" s="1"/>
      <c r="I295" s="10">
        <f t="shared" si="13"/>
        <v>0</v>
      </c>
      <c r="J295" s="1"/>
      <c r="K295" s="1"/>
      <c r="L295" s="1">
        <f t="shared" si="15"/>
        <v>0</v>
      </c>
      <c r="M295" s="1"/>
      <c r="N295" s="1"/>
      <c r="O295" s="11">
        <f t="shared" si="14"/>
        <v>0</v>
      </c>
      <c r="P295" s="40"/>
      <c r="Q295" s="69"/>
      <c r="R295" s="1"/>
      <c r="S295" s="1"/>
      <c r="T295" s="1"/>
    </row>
    <row r="296" spans="1:20">
      <c r="A296" s="3"/>
      <c r="B296" s="1"/>
      <c r="C296" s="1"/>
      <c r="D296" s="1"/>
      <c r="E296" s="1"/>
      <c r="F296" s="1"/>
      <c r="G296" s="1"/>
      <c r="H296" s="1"/>
      <c r="I296" s="10">
        <f t="shared" si="13"/>
        <v>0</v>
      </c>
      <c r="J296" s="1"/>
      <c r="K296" s="1"/>
      <c r="L296" s="1">
        <f t="shared" si="15"/>
        <v>0</v>
      </c>
      <c r="M296" s="1"/>
      <c r="N296" s="1"/>
      <c r="O296" s="11">
        <f t="shared" si="14"/>
        <v>0</v>
      </c>
      <c r="P296" s="40"/>
      <c r="Q296" s="69"/>
      <c r="R296" s="1"/>
      <c r="S296" s="1"/>
      <c r="T296" s="1"/>
    </row>
    <row r="297" spans="1:20">
      <c r="A297" s="3"/>
      <c r="B297" s="1"/>
      <c r="C297" s="1"/>
      <c r="D297" s="1"/>
      <c r="E297" s="1"/>
      <c r="F297" s="1"/>
      <c r="G297" s="1"/>
      <c r="H297" s="1"/>
      <c r="I297" s="10">
        <f t="shared" si="13"/>
        <v>0</v>
      </c>
      <c r="J297" s="1"/>
      <c r="K297" s="1"/>
      <c r="L297" s="1">
        <f t="shared" si="15"/>
        <v>0</v>
      </c>
      <c r="M297" s="1"/>
      <c r="N297" s="1"/>
      <c r="O297" s="11">
        <f t="shared" si="14"/>
        <v>0</v>
      </c>
      <c r="P297" s="40"/>
      <c r="Q297" s="69"/>
      <c r="R297" s="1"/>
      <c r="S297" s="1"/>
      <c r="T297" s="1"/>
    </row>
    <row r="298" spans="1:20">
      <c r="A298" s="3"/>
      <c r="B298" s="1"/>
      <c r="C298" s="1"/>
      <c r="D298" s="1"/>
      <c r="E298" s="1"/>
      <c r="F298" s="1"/>
      <c r="G298" s="1"/>
      <c r="H298" s="1"/>
      <c r="I298" s="10">
        <f t="shared" si="13"/>
        <v>0</v>
      </c>
      <c r="J298" s="1"/>
      <c r="K298" s="1"/>
      <c r="L298" s="1">
        <f t="shared" si="15"/>
        <v>0</v>
      </c>
      <c r="M298" s="1"/>
      <c r="N298" s="1"/>
      <c r="O298" s="11">
        <f t="shared" si="14"/>
        <v>0</v>
      </c>
      <c r="P298" s="40"/>
      <c r="Q298" s="69"/>
      <c r="R298" s="1"/>
      <c r="S298" s="1"/>
      <c r="T298" s="1"/>
    </row>
    <row r="299" spans="1:20">
      <c r="A299" s="3"/>
      <c r="B299" s="1"/>
      <c r="C299" s="1"/>
      <c r="D299" s="1"/>
      <c r="E299" s="1"/>
      <c r="F299" s="1"/>
      <c r="G299" s="1"/>
      <c r="H299" s="1"/>
      <c r="I299" s="10">
        <f t="shared" si="13"/>
        <v>0</v>
      </c>
      <c r="J299" s="1"/>
      <c r="K299" s="1"/>
      <c r="L299" s="1">
        <f t="shared" si="15"/>
        <v>0</v>
      </c>
      <c r="M299" s="1"/>
      <c r="N299" s="1"/>
      <c r="O299" s="11">
        <f t="shared" si="14"/>
        <v>0</v>
      </c>
      <c r="P299" s="40"/>
      <c r="Q299" s="69"/>
      <c r="R299" s="1"/>
      <c r="S299" s="1"/>
      <c r="T299" s="1"/>
    </row>
    <row r="300" spans="1:20">
      <c r="A300" s="3"/>
      <c r="B300" s="1"/>
      <c r="C300" s="1"/>
      <c r="D300" s="1"/>
      <c r="E300" s="1"/>
      <c r="F300" s="1"/>
      <c r="G300" s="1"/>
      <c r="H300" s="1"/>
      <c r="I300" s="10">
        <f t="shared" si="13"/>
        <v>0</v>
      </c>
      <c r="J300" s="1"/>
      <c r="K300" s="1"/>
      <c r="L300" s="1">
        <f t="shared" si="15"/>
        <v>0</v>
      </c>
      <c r="M300" s="1"/>
      <c r="N300" s="1"/>
      <c r="O300" s="11">
        <f t="shared" si="14"/>
        <v>0</v>
      </c>
      <c r="P300" s="40"/>
      <c r="Q300" s="69"/>
      <c r="R300" s="1"/>
      <c r="S300" s="1"/>
      <c r="T300" s="1"/>
    </row>
    <row r="301" spans="1:20">
      <c r="A301" s="3"/>
      <c r="B301" s="1"/>
      <c r="C301" s="1"/>
      <c r="D301" s="1"/>
      <c r="E301" s="1"/>
      <c r="F301" s="1"/>
      <c r="G301" s="1"/>
      <c r="H301" s="1"/>
      <c r="I301" s="10">
        <f t="shared" si="13"/>
        <v>0</v>
      </c>
      <c r="J301" s="1"/>
      <c r="K301" s="1"/>
      <c r="L301" s="1">
        <f t="shared" si="15"/>
        <v>0</v>
      </c>
      <c r="M301" s="1"/>
      <c r="N301" s="1"/>
      <c r="O301" s="11">
        <f t="shared" si="14"/>
        <v>0</v>
      </c>
      <c r="P301" s="40"/>
      <c r="Q301" s="69"/>
      <c r="R301" s="1"/>
      <c r="S301" s="1"/>
      <c r="T301" s="1"/>
    </row>
    <row r="302" spans="1:20">
      <c r="A302" s="3"/>
      <c r="B302" s="1"/>
      <c r="C302" s="1"/>
      <c r="D302" s="1"/>
      <c r="E302" s="1"/>
      <c r="F302" s="1"/>
      <c r="G302" s="1"/>
      <c r="H302" s="1"/>
      <c r="I302" s="10">
        <f t="shared" si="13"/>
        <v>0</v>
      </c>
      <c r="J302" s="1"/>
      <c r="K302" s="1"/>
      <c r="L302" s="1">
        <f t="shared" si="15"/>
        <v>0</v>
      </c>
      <c r="M302" s="1"/>
      <c r="N302" s="1"/>
      <c r="O302" s="11">
        <f t="shared" si="14"/>
        <v>0</v>
      </c>
      <c r="P302" s="40"/>
      <c r="Q302" s="69"/>
      <c r="R302" s="1"/>
      <c r="S302" s="1"/>
      <c r="T302" s="1"/>
    </row>
    <row r="303" spans="1:20">
      <c r="A303" s="3"/>
      <c r="B303" s="1"/>
      <c r="C303" s="1"/>
      <c r="D303" s="1"/>
      <c r="E303" s="1"/>
      <c r="F303" s="1"/>
      <c r="G303" s="1"/>
      <c r="H303" s="1"/>
      <c r="I303" s="10">
        <f t="shared" si="13"/>
        <v>0</v>
      </c>
      <c r="J303" s="1"/>
      <c r="K303" s="1"/>
      <c r="L303" s="1">
        <f t="shared" si="15"/>
        <v>0</v>
      </c>
      <c r="M303" s="1"/>
      <c r="N303" s="1"/>
      <c r="O303" s="11">
        <f t="shared" si="14"/>
        <v>0</v>
      </c>
      <c r="P303" s="40"/>
      <c r="Q303" s="69"/>
      <c r="R303" s="1"/>
      <c r="S303" s="1"/>
      <c r="T303" s="1"/>
    </row>
    <row r="304" spans="1:20">
      <c r="A304" s="3"/>
      <c r="B304" s="1"/>
      <c r="C304" s="1"/>
      <c r="D304" s="1"/>
      <c r="E304" s="1"/>
      <c r="F304" s="1"/>
      <c r="G304" s="1"/>
      <c r="H304" s="1"/>
      <c r="I304" s="10">
        <f t="shared" si="13"/>
        <v>0</v>
      </c>
      <c r="J304" s="1"/>
      <c r="K304" s="1"/>
      <c r="L304" s="1">
        <f t="shared" si="15"/>
        <v>0</v>
      </c>
      <c r="M304" s="1"/>
      <c r="N304" s="1"/>
      <c r="O304" s="11">
        <f t="shared" si="14"/>
        <v>0</v>
      </c>
      <c r="P304" s="40"/>
      <c r="Q304" s="69"/>
      <c r="R304" s="1"/>
      <c r="S304" s="1"/>
      <c r="T304" s="1"/>
    </row>
    <row r="305" spans="1:20">
      <c r="A305" s="3"/>
      <c r="B305" s="1"/>
      <c r="C305" s="1"/>
      <c r="D305" s="1"/>
      <c r="E305" s="1"/>
      <c r="F305" s="1"/>
      <c r="G305" s="1"/>
      <c r="H305" s="1"/>
      <c r="I305" s="10">
        <f t="shared" si="13"/>
        <v>0</v>
      </c>
      <c r="J305" s="1"/>
      <c r="K305" s="1"/>
      <c r="L305" s="1">
        <f t="shared" si="15"/>
        <v>0</v>
      </c>
      <c r="M305" s="1"/>
      <c r="N305" s="1"/>
      <c r="O305" s="11">
        <f t="shared" si="14"/>
        <v>0</v>
      </c>
      <c r="P305" s="40"/>
      <c r="Q305" s="69"/>
      <c r="R305" s="1"/>
      <c r="S305" s="1"/>
      <c r="T305" s="1"/>
    </row>
    <row r="306" spans="1:20">
      <c r="A306" s="3"/>
      <c r="B306" s="1"/>
      <c r="C306" s="1"/>
      <c r="D306" s="1"/>
      <c r="E306" s="1"/>
      <c r="F306" s="1"/>
      <c r="G306" s="1"/>
      <c r="H306" s="1"/>
      <c r="I306" s="10">
        <f t="shared" si="13"/>
        <v>0</v>
      </c>
      <c r="J306" s="1"/>
      <c r="K306" s="1"/>
      <c r="L306" s="1">
        <f t="shared" si="15"/>
        <v>0</v>
      </c>
      <c r="M306" s="1"/>
      <c r="N306" s="1"/>
      <c r="O306" s="11">
        <f t="shared" si="14"/>
        <v>0</v>
      </c>
      <c r="P306" s="40"/>
      <c r="Q306" s="69"/>
      <c r="R306" s="1"/>
      <c r="S306" s="1"/>
      <c r="T306" s="1"/>
    </row>
    <row r="307" spans="1:20">
      <c r="A307" s="3"/>
      <c r="B307" s="1"/>
      <c r="C307" s="1"/>
      <c r="D307" s="1"/>
      <c r="E307" s="1"/>
      <c r="F307" s="1"/>
      <c r="G307" s="1"/>
      <c r="H307" s="1"/>
      <c r="I307" s="10">
        <f t="shared" si="13"/>
        <v>0</v>
      </c>
      <c r="J307" s="1"/>
      <c r="K307" s="1"/>
      <c r="L307" s="1">
        <f t="shared" si="15"/>
        <v>0</v>
      </c>
      <c r="M307" s="1"/>
      <c r="N307" s="1"/>
      <c r="O307" s="11">
        <f t="shared" si="14"/>
        <v>0</v>
      </c>
      <c r="P307" s="40"/>
      <c r="Q307" s="69"/>
      <c r="R307" s="1"/>
      <c r="S307" s="1"/>
      <c r="T307" s="1"/>
    </row>
    <row r="308" spans="1:20">
      <c r="A308" s="3"/>
      <c r="B308" s="1"/>
      <c r="C308" s="1"/>
      <c r="D308" s="1"/>
      <c r="E308" s="1"/>
      <c r="F308" s="1"/>
      <c r="G308" s="1"/>
      <c r="H308" s="1"/>
      <c r="I308" s="10">
        <f t="shared" si="13"/>
        <v>0</v>
      </c>
      <c r="J308" s="1"/>
      <c r="K308" s="1"/>
      <c r="L308" s="1">
        <f t="shared" si="15"/>
        <v>0</v>
      </c>
      <c r="M308" s="1"/>
      <c r="N308" s="1"/>
      <c r="O308" s="11">
        <f t="shared" si="14"/>
        <v>0</v>
      </c>
      <c r="P308" s="40"/>
      <c r="Q308" s="69"/>
      <c r="R308" s="1"/>
      <c r="S308" s="1"/>
      <c r="T308" s="1"/>
    </row>
    <row r="309" spans="1:20">
      <c r="A309" s="3"/>
      <c r="B309" s="1"/>
      <c r="C309" s="1"/>
      <c r="D309" s="1"/>
      <c r="E309" s="1"/>
      <c r="F309" s="1"/>
      <c r="G309" s="1"/>
      <c r="H309" s="1"/>
      <c r="I309" s="10">
        <f t="shared" si="13"/>
        <v>0</v>
      </c>
      <c r="J309" s="1"/>
      <c r="K309" s="1"/>
      <c r="L309" s="1">
        <f t="shared" si="15"/>
        <v>0</v>
      </c>
      <c r="M309" s="1"/>
      <c r="N309" s="1"/>
      <c r="O309" s="11">
        <f t="shared" si="14"/>
        <v>0</v>
      </c>
      <c r="P309" s="40"/>
      <c r="Q309" s="69"/>
      <c r="R309" s="1"/>
      <c r="S309" s="1"/>
      <c r="T309" s="1"/>
    </row>
    <row r="310" spans="1:20">
      <c r="A310" s="3"/>
      <c r="B310" s="1"/>
      <c r="C310" s="1"/>
      <c r="D310" s="1"/>
      <c r="E310" s="1"/>
      <c r="F310" s="1"/>
      <c r="G310" s="1"/>
      <c r="H310" s="1"/>
      <c r="I310" s="10">
        <f t="shared" si="13"/>
        <v>0</v>
      </c>
      <c r="J310" s="1"/>
      <c r="K310" s="1"/>
      <c r="L310" s="1">
        <f t="shared" si="15"/>
        <v>0</v>
      </c>
      <c r="M310" s="1"/>
      <c r="N310" s="1"/>
      <c r="O310" s="11">
        <f t="shared" si="14"/>
        <v>0</v>
      </c>
      <c r="P310" s="40"/>
      <c r="Q310" s="69"/>
      <c r="R310" s="1"/>
      <c r="S310" s="1"/>
      <c r="T310" s="1"/>
    </row>
    <row r="311" spans="1:20">
      <c r="A311" s="3"/>
      <c r="B311" s="1"/>
      <c r="C311" s="1"/>
      <c r="D311" s="1"/>
      <c r="E311" s="1"/>
      <c r="F311" s="1"/>
      <c r="G311" s="1"/>
      <c r="H311" s="1"/>
      <c r="I311" s="10">
        <f t="shared" si="13"/>
        <v>0</v>
      </c>
      <c r="J311" s="1"/>
      <c r="K311" s="1"/>
      <c r="L311" s="1">
        <f t="shared" si="15"/>
        <v>0</v>
      </c>
      <c r="M311" s="1"/>
      <c r="N311" s="1"/>
      <c r="O311" s="11">
        <f t="shared" si="14"/>
        <v>0</v>
      </c>
      <c r="P311" s="40"/>
      <c r="Q311" s="69"/>
      <c r="R311" s="1"/>
      <c r="S311" s="1"/>
      <c r="T311" s="1"/>
    </row>
    <row r="312" spans="1:20">
      <c r="A312" s="3"/>
      <c r="B312" s="1"/>
      <c r="C312" s="1"/>
      <c r="D312" s="1"/>
      <c r="E312" s="1"/>
      <c r="F312" s="1"/>
      <c r="G312" s="1"/>
      <c r="H312" s="1"/>
      <c r="I312" s="10">
        <f t="shared" si="13"/>
        <v>0</v>
      </c>
      <c r="J312" s="1"/>
      <c r="K312" s="1"/>
      <c r="L312" s="1">
        <f t="shared" si="15"/>
        <v>0</v>
      </c>
      <c r="M312" s="1"/>
      <c r="N312" s="1"/>
      <c r="O312" s="11">
        <f t="shared" si="14"/>
        <v>0</v>
      </c>
      <c r="P312" s="40"/>
      <c r="Q312" s="69"/>
      <c r="R312" s="1"/>
      <c r="S312" s="1"/>
      <c r="T312" s="1"/>
    </row>
    <row r="313" spans="1:20">
      <c r="A313" s="3"/>
      <c r="B313" s="1"/>
      <c r="C313" s="1"/>
      <c r="D313" s="1"/>
      <c r="E313" s="1"/>
      <c r="F313" s="1"/>
      <c r="G313" s="1"/>
      <c r="H313" s="1"/>
      <c r="I313" s="10">
        <f t="shared" si="13"/>
        <v>0</v>
      </c>
      <c r="J313" s="1"/>
      <c r="K313" s="1"/>
      <c r="L313" s="1">
        <f t="shared" si="15"/>
        <v>0</v>
      </c>
      <c r="M313" s="1"/>
      <c r="N313" s="1"/>
      <c r="O313" s="11">
        <f t="shared" si="14"/>
        <v>0</v>
      </c>
      <c r="P313" s="40"/>
      <c r="Q313" s="69"/>
      <c r="R313" s="1"/>
      <c r="S313" s="1"/>
      <c r="T313" s="1"/>
    </row>
    <row r="314" spans="1:20">
      <c r="A314" s="3"/>
      <c r="B314" s="1"/>
      <c r="C314" s="1"/>
      <c r="D314" s="1"/>
      <c r="E314" s="1"/>
      <c r="F314" s="1"/>
      <c r="G314" s="1"/>
      <c r="H314" s="1"/>
      <c r="I314" s="10">
        <f t="shared" si="13"/>
        <v>0</v>
      </c>
      <c r="J314" s="1"/>
      <c r="K314" s="1"/>
      <c r="L314" s="1">
        <f t="shared" si="15"/>
        <v>0</v>
      </c>
      <c r="M314" s="1"/>
      <c r="N314" s="1"/>
      <c r="O314" s="11">
        <f t="shared" si="14"/>
        <v>0</v>
      </c>
      <c r="P314" s="40"/>
      <c r="Q314" s="69"/>
      <c r="R314" s="1"/>
      <c r="S314" s="1"/>
      <c r="T314" s="1"/>
    </row>
    <row r="315" spans="1:20">
      <c r="A315" s="3"/>
      <c r="B315" s="1"/>
      <c r="C315" s="1"/>
      <c r="D315" s="1"/>
      <c r="E315" s="1"/>
      <c r="F315" s="1"/>
      <c r="G315" s="1"/>
      <c r="H315" s="1"/>
      <c r="I315" s="10">
        <f t="shared" si="13"/>
        <v>0</v>
      </c>
      <c r="J315" s="1"/>
      <c r="K315" s="1"/>
      <c r="L315" s="1">
        <f t="shared" si="15"/>
        <v>0</v>
      </c>
      <c r="M315" s="1"/>
      <c r="N315" s="1"/>
      <c r="O315" s="11">
        <f t="shared" si="14"/>
        <v>0</v>
      </c>
      <c r="P315" s="40"/>
      <c r="Q315" s="69"/>
      <c r="R315" s="1"/>
      <c r="S315" s="1"/>
      <c r="T315" s="1"/>
    </row>
    <row r="316" spans="1:20">
      <c r="A316" s="3"/>
      <c r="B316" s="1"/>
      <c r="C316" s="1"/>
      <c r="D316" s="1"/>
      <c r="E316" s="1"/>
      <c r="F316" s="1"/>
      <c r="G316" s="1"/>
      <c r="H316" s="1"/>
      <c r="I316" s="10">
        <f t="shared" si="13"/>
        <v>0</v>
      </c>
      <c r="J316" s="1"/>
      <c r="K316" s="1"/>
      <c r="L316" s="1">
        <f t="shared" si="15"/>
        <v>0</v>
      </c>
      <c r="M316" s="1"/>
      <c r="N316" s="1"/>
      <c r="O316" s="11">
        <f t="shared" si="14"/>
        <v>0</v>
      </c>
      <c r="P316" s="40"/>
      <c r="Q316" s="69"/>
      <c r="R316" s="1"/>
      <c r="S316" s="1"/>
      <c r="T316" s="1"/>
    </row>
    <row r="317" spans="1:20">
      <c r="A317" s="3"/>
      <c r="B317" s="1"/>
      <c r="C317" s="1"/>
      <c r="D317" s="1"/>
      <c r="E317" s="1"/>
      <c r="F317" s="1"/>
      <c r="G317" s="1"/>
      <c r="H317" s="1"/>
      <c r="I317" s="10">
        <f t="shared" si="13"/>
        <v>0</v>
      </c>
      <c r="J317" s="1"/>
      <c r="K317" s="1"/>
      <c r="L317" s="1">
        <f t="shared" si="15"/>
        <v>0</v>
      </c>
      <c r="M317" s="1"/>
      <c r="N317" s="1"/>
      <c r="O317" s="11">
        <f t="shared" si="14"/>
        <v>0</v>
      </c>
      <c r="P317" s="40"/>
      <c r="Q317" s="69"/>
      <c r="R317" s="1"/>
      <c r="S317" s="1"/>
      <c r="T317" s="1"/>
    </row>
    <row r="318" spans="1:20">
      <c r="A318" s="3"/>
      <c r="B318" s="1"/>
      <c r="C318" s="1"/>
      <c r="D318" s="1"/>
      <c r="E318" s="1"/>
      <c r="F318" s="1"/>
      <c r="G318" s="1"/>
      <c r="H318" s="1"/>
      <c r="I318" s="10">
        <f t="shared" si="13"/>
        <v>0</v>
      </c>
      <c r="J318" s="1"/>
      <c r="K318" s="1"/>
      <c r="L318" s="1">
        <f t="shared" si="15"/>
        <v>0</v>
      </c>
      <c r="M318" s="1"/>
      <c r="N318" s="1"/>
      <c r="O318" s="11">
        <f t="shared" si="14"/>
        <v>0</v>
      </c>
      <c r="P318" s="40"/>
      <c r="Q318" s="69"/>
      <c r="R318" s="1"/>
      <c r="S318" s="1"/>
      <c r="T318" s="1"/>
    </row>
    <row r="319" spans="1:20">
      <c r="A319" s="3"/>
      <c r="B319" s="1"/>
      <c r="C319" s="1"/>
      <c r="D319" s="1"/>
      <c r="E319" s="1"/>
      <c r="F319" s="1"/>
      <c r="G319" s="1"/>
      <c r="H319" s="1"/>
      <c r="I319" s="10">
        <f t="shared" si="13"/>
        <v>0</v>
      </c>
      <c r="J319" s="1"/>
      <c r="K319" s="1"/>
      <c r="L319" s="1">
        <f t="shared" si="15"/>
        <v>0</v>
      </c>
      <c r="M319" s="1"/>
      <c r="N319" s="1"/>
      <c r="O319" s="11">
        <f t="shared" si="14"/>
        <v>0</v>
      </c>
      <c r="P319" s="40"/>
      <c r="Q319" s="69"/>
      <c r="R319" s="1"/>
      <c r="S319" s="1"/>
      <c r="T319" s="1"/>
    </row>
    <row r="320" spans="1:20">
      <c r="A320" s="3"/>
      <c r="B320" s="1"/>
      <c r="C320" s="1"/>
      <c r="D320" s="1"/>
      <c r="E320" s="1"/>
      <c r="F320" s="1"/>
      <c r="G320" s="1"/>
      <c r="H320" s="1"/>
      <c r="I320" s="10">
        <f t="shared" si="13"/>
        <v>0</v>
      </c>
      <c r="J320" s="1"/>
      <c r="K320" s="1"/>
      <c r="L320" s="1">
        <f t="shared" si="15"/>
        <v>0</v>
      </c>
      <c r="M320" s="1"/>
      <c r="N320" s="1"/>
      <c r="O320" s="11">
        <f t="shared" si="14"/>
        <v>0</v>
      </c>
      <c r="P320" s="40"/>
      <c r="Q320" s="69"/>
      <c r="R320" s="1"/>
      <c r="S320" s="1"/>
      <c r="T320" s="1"/>
    </row>
    <row r="321" spans="1:20">
      <c r="A321" s="3"/>
      <c r="B321" s="1"/>
      <c r="C321" s="1"/>
      <c r="D321" s="1"/>
      <c r="E321" s="1"/>
      <c r="F321" s="1"/>
      <c r="G321" s="1"/>
      <c r="H321" s="1"/>
      <c r="I321" s="10">
        <f t="shared" si="13"/>
        <v>0</v>
      </c>
      <c r="J321" s="1"/>
      <c r="K321" s="1"/>
      <c r="L321" s="1">
        <f t="shared" si="15"/>
        <v>0</v>
      </c>
      <c r="M321" s="1"/>
      <c r="N321" s="1"/>
      <c r="O321" s="11">
        <f t="shared" si="14"/>
        <v>0</v>
      </c>
      <c r="P321" s="40"/>
      <c r="Q321" s="69"/>
      <c r="R321" s="1"/>
      <c r="S321" s="1"/>
      <c r="T321" s="1"/>
    </row>
    <row r="322" spans="1:20">
      <c r="A322" s="3"/>
      <c r="B322" s="1"/>
      <c r="C322" s="1"/>
      <c r="D322" s="1"/>
      <c r="E322" s="1"/>
      <c r="F322" s="1"/>
      <c r="G322" s="1"/>
      <c r="H322" s="1"/>
      <c r="I322" s="10">
        <f t="shared" si="13"/>
        <v>0</v>
      </c>
      <c r="J322" s="1"/>
      <c r="K322" s="1"/>
      <c r="L322" s="1">
        <f t="shared" si="15"/>
        <v>0</v>
      </c>
      <c r="M322" s="1"/>
      <c r="N322" s="1"/>
      <c r="O322" s="11">
        <f t="shared" si="14"/>
        <v>0</v>
      </c>
      <c r="P322" s="40"/>
      <c r="Q322" s="69"/>
      <c r="R322" s="1"/>
      <c r="S322" s="1"/>
      <c r="T322" s="1"/>
    </row>
    <row r="323" spans="1:20">
      <c r="A323" s="3"/>
      <c r="B323" s="1"/>
      <c r="C323" s="1"/>
      <c r="D323" s="1"/>
      <c r="E323" s="1"/>
      <c r="F323" s="1"/>
      <c r="G323" s="1"/>
      <c r="H323" s="1"/>
      <c r="I323" s="10">
        <f t="shared" si="13"/>
        <v>0</v>
      </c>
      <c r="J323" s="1"/>
      <c r="K323" s="1"/>
      <c r="L323" s="1">
        <f t="shared" si="15"/>
        <v>0</v>
      </c>
      <c r="M323" s="1"/>
      <c r="N323" s="1"/>
      <c r="O323" s="11">
        <f t="shared" si="14"/>
        <v>0</v>
      </c>
      <c r="P323" s="40"/>
      <c r="Q323" s="69"/>
      <c r="R323" s="1"/>
      <c r="S323" s="1"/>
      <c r="T323" s="1"/>
    </row>
    <row r="324" spans="1:20">
      <c r="A324" s="3"/>
      <c r="B324" s="1"/>
      <c r="C324" s="1"/>
      <c r="D324" s="1"/>
      <c r="E324" s="1"/>
      <c r="F324" s="1"/>
      <c r="G324" s="1"/>
      <c r="H324" s="1"/>
      <c r="I324" s="10">
        <f t="shared" si="13"/>
        <v>0</v>
      </c>
      <c r="J324" s="1"/>
      <c r="K324" s="1"/>
      <c r="L324" s="1">
        <f t="shared" si="15"/>
        <v>0</v>
      </c>
      <c r="M324" s="1"/>
      <c r="N324" s="1"/>
      <c r="O324" s="11">
        <f t="shared" si="14"/>
        <v>0</v>
      </c>
      <c r="P324" s="40"/>
      <c r="Q324" s="69"/>
      <c r="R324" s="1"/>
      <c r="S324" s="1"/>
      <c r="T324" s="1"/>
    </row>
    <row r="325" spans="1:20">
      <c r="A325" s="3"/>
      <c r="B325" s="1"/>
      <c r="C325" s="1"/>
      <c r="D325" s="1"/>
      <c r="E325" s="1"/>
      <c r="F325" s="1"/>
      <c r="G325" s="1"/>
      <c r="H325" s="1"/>
      <c r="I325" s="10">
        <f t="shared" si="13"/>
        <v>0</v>
      </c>
      <c r="J325" s="1"/>
      <c r="K325" s="1"/>
      <c r="L325" s="1">
        <f t="shared" si="15"/>
        <v>0</v>
      </c>
      <c r="M325" s="1"/>
      <c r="N325" s="1"/>
      <c r="O325" s="11">
        <f t="shared" si="14"/>
        <v>0</v>
      </c>
      <c r="P325" s="40"/>
      <c r="Q325" s="69"/>
      <c r="R325" s="1"/>
      <c r="S325" s="1"/>
      <c r="T325" s="1"/>
    </row>
    <row r="326" spans="1:20">
      <c r="A326" s="3"/>
      <c r="B326" s="1"/>
      <c r="C326" s="1"/>
      <c r="D326" s="1"/>
      <c r="E326" s="1"/>
      <c r="F326" s="1"/>
      <c r="G326" s="1"/>
      <c r="H326" s="1"/>
      <c r="I326" s="10">
        <f t="shared" ref="I326:I389" si="16">H326*G326</f>
        <v>0</v>
      </c>
      <c r="J326" s="1"/>
      <c r="K326" s="1"/>
      <c r="L326" s="1">
        <f t="shared" si="15"/>
        <v>0</v>
      </c>
      <c r="M326" s="1"/>
      <c r="N326" s="1"/>
      <c r="O326" s="11">
        <f t="shared" ref="O326:O389" si="17">L326-M326-N326</f>
        <v>0</v>
      </c>
      <c r="P326" s="40"/>
      <c r="Q326" s="69"/>
      <c r="R326" s="1"/>
      <c r="S326" s="1"/>
      <c r="T326" s="1"/>
    </row>
    <row r="327" spans="1:20">
      <c r="A327" s="3"/>
      <c r="B327" s="1"/>
      <c r="C327" s="1"/>
      <c r="D327" s="1"/>
      <c r="E327" s="1"/>
      <c r="F327" s="1"/>
      <c r="G327" s="1"/>
      <c r="H327" s="1"/>
      <c r="I327" s="10">
        <f t="shared" si="16"/>
        <v>0</v>
      </c>
      <c r="J327" s="1"/>
      <c r="K327" s="1"/>
      <c r="L327" s="1">
        <f t="shared" si="15"/>
        <v>0</v>
      </c>
      <c r="M327" s="1"/>
      <c r="N327" s="1"/>
      <c r="O327" s="11">
        <f t="shared" si="17"/>
        <v>0</v>
      </c>
      <c r="P327" s="40"/>
      <c r="Q327" s="69"/>
      <c r="R327" s="1"/>
      <c r="S327" s="1"/>
      <c r="T327" s="1"/>
    </row>
    <row r="328" spans="1:20">
      <c r="A328" s="3"/>
      <c r="B328" s="1"/>
      <c r="C328" s="1"/>
      <c r="D328" s="1"/>
      <c r="E328" s="1"/>
      <c r="F328" s="1"/>
      <c r="G328" s="1"/>
      <c r="H328" s="1"/>
      <c r="I328" s="10">
        <f t="shared" si="16"/>
        <v>0</v>
      </c>
      <c r="J328" s="1"/>
      <c r="K328" s="1"/>
      <c r="L328" s="1">
        <f t="shared" ref="L328:L391" si="18">I328-J328-K328</f>
        <v>0</v>
      </c>
      <c r="M328" s="1"/>
      <c r="N328" s="1"/>
      <c r="O328" s="11">
        <f t="shared" si="17"/>
        <v>0</v>
      </c>
      <c r="P328" s="40"/>
      <c r="Q328" s="69"/>
      <c r="R328" s="1"/>
      <c r="S328" s="1"/>
      <c r="T328" s="1"/>
    </row>
    <row r="329" spans="1:20">
      <c r="A329" s="3"/>
      <c r="B329" s="1"/>
      <c r="C329" s="1"/>
      <c r="D329" s="1"/>
      <c r="E329" s="1"/>
      <c r="F329" s="1"/>
      <c r="G329" s="1"/>
      <c r="H329" s="1"/>
      <c r="I329" s="10">
        <f t="shared" si="16"/>
        <v>0</v>
      </c>
      <c r="J329" s="1"/>
      <c r="K329" s="1"/>
      <c r="L329" s="1">
        <f t="shared" si="18"/>
        <v>0</v>
      </c>
      <c r="M329" s="1"/>
      <c r="N329" s="1"/>
      <c r="O329" s="11">
        <f t="shared" si="17"/>
        <v>0</v>
      </c>
      <c r="P329" s="40"/>
      <c r="Q329" s="69"/>
      <c r="R329" s="1"/>
      <c r="S329" s="1"/>
      <c r="T329" s="1"/>
    </row>
    <row r="330" spans="1:20">
      <c r="A330" s="3"/>
      <c r="B330" s="1"/>
      <c r="C330" s="1"/>
      <c r="D330" s="1"/>
      <c r="E330" s="1"/>
      <c r="F330" s="1"/>
      <c r="G330" s="1"/>
      <c r="H330" s="1"/>
      <c r="I330" s="10">
        <f t="shared" si="16"/>
        <v>0</v>
      </c>
      <c r="J330" s="1"/>
      <c r="K330" s="1"/>
      <c r="L330" s="1">
        <f t="shared" si="18"/>
        <v>0</v>
      </c>
      <c r="M330" s="1"/>
      <c r="N330" s="1"/>
      <c r="O330" s="11">
        <f t="shared" si="17"/>
        <v>0</v>
      </c>
      <c r="P330" s="40"/>
      <c r="Q330" s="69"/>
      <c r="R330" s="1"/>
      <c r="S330" s="1"/>
      <c r="T330" s="1"/>
    </row>
    <row r="331" spans="1:20">
      <c r="A331" s="3"/>
      <c r="B331" s="1"/>
      <c r="C331" s="1"/>
      <c r="D331" s="1"/>
      <c r="E331" s="1"/>
      <c r="F331" s="1"/>
      <c r="G331" s="1"/>
      <c r="H331" s="1"/>
      <c r="I331" s="10">
        <f t="shared" si="16"/>
        <v>0</v>
      </c>
      <c r="J331" s="1"/>
      <c r="K331" s="1"/>
      <c r="L331" s="1">
        <f t="shared" si="18"/>
        <v>0</v>
      </c>
      <c r="M331" s="1"/>
      <c r="N331" s="1"/>
      <c r="O331" s="11">
        <f t="shared" si="17"/>
        <v>0</v>
      </c>
      <c r="P331" s="40"/>
      <c r="Q331" s="69"/>
      <c r="R331" s="1"/>
      <c r="S331" s="1"/>
      <c r="T331" s="1"/>
    </row>
    <row r="332" spans="1:20">
      <c r="A332" s="3"/>
      <c r="B332" s="1"/>
      <c r="C332" s="1"/>
      <c r="D332" s="1"/>
      <c r="E332" s="1"/>
      <c r="F332" s="1"/>
      <c r="G332" s="1"/>
      <c r="H332" s="1"/>
      <c r="I332" s="10">
        <f t="shared" si="16"/>
        <v>0</v>
      </c>
      <c r="J332" s="1"/>
      <c r="K332" s="1"/>
      <c r="L332" s="1">
        <f t="shared" si="18"/>
        <v>0</v>
      </c>
      <c r="M332" s="1"/>
      <c r="N332" s="1"/>
      <c r="O332" s="11">
        <f t="shared" si="17"/>
        <v>0</v>
      </c>
      <c r="P332" s="40"/>
      <c r="Q332" s="69"/>
      <c r="R332" s="1"/>
      <c r="S332" s="1"/>
      <c r="T332" s="1"/>
    </row>
    <row r="333" spans="1:20">
      <c r="A333" s="3"/>
      <c r="B333" s="1"/>
      <c r="C333" s="1"/>
      <c r="D333" s="1"/>
      <c r="E333" s="1"/>
      <c r="F333" s="1"/>
      <c r="G333" s="1"/>
      <c r="H333" s="1"/>
      <c r="I333" s="10">
        <f t="shared" si="16"/>
        <v>0</v>
      </c>
      <c r="J333" s="1"/>
      <c r="K333" s="1"/>
      <c r="L333" s="1">
        <f t="shared" si="18"/>
        <v>0</v>
      </c>
      <c r="M333" s="1"/>
      <c r="N333" s="1"/>
      <c r="O333" s="11">
        <f t="shared" si="17"/>
        <v>0</v>
      </c>
      <c r="P333" s="40"/>
      <c r="Q333" s="69"/>
      <c r="R333" s="1"/>
      <c r="S333" s="1"/>
      <c r="T333" s="1"/>
    </row>
    <row r="334" spans="1:20">
      <c r="A334" s="3"/>
      <c r="B334" s="1"/>
      <c r="C334" s="1"/>
      <c r="D334" s="1"/>
      <c r="E334" s="1"/>
      <c r="F334" s="1"/>
      <c r="G334" s="1"/>
      <c r="H334" s="1"/>
      <c r="I334" s="10">
        <f t="shared" si="16"/>
        <v>0</v>
      </c>
      <c r="J334" s="1"/>
      <c r="K334" s="1"/>
      <c r="L334" s="1">
        <f t="shared" si="18"/>
        <v>0</v>
      </c>
      <c r="M334" s="1"/>
      <c r="N334" s="1"/>
      <c r="O334" s="11">
        <f t="shared" si="17"/>
        <v>0</v>
      </c>
      <c r="P334" s="40"/>
      <c r="Q334" s="69"/>
      <c r="R334" s="1"/>
      <c r="S334" s="1"/>
      <c r="T334" s="1"/>
    </row>
    <row r="335" spans="1:20">
      <c r="A335" s="3"/>
      <c r="B335" s="1"/>
      <c r="C335" s="1"/>
      <c r="D335" s="1"/>
      <c r="E335" s="1"/>
      <c r="F335" s="1"/>
      <c r="G335" s="1"/>
      <c r="H335" s="1"/>
      <c r="I335" s="10">
        <f t="shared" si="16"/>
        <v>0</v>
      </c>
      <c r="J335" s="1"/>
      <c r="K335" s="1"/>
      <c r="L335" s="1">
        <f t="shared" si="18"/>
        <v>0</v>
      </c>
      <c r="M335" s="1"/>
      <c r="N335" s="1"/>
      <c r="O335" s="11">
        <f t="shared" si="17"/>
        <v>0</v>
      </c>
      <c r="P335" s="40"/>
      <c r="Q335" s="69"/>
      <c r="R335" s="1"/>
      <c r="S335" s="1"/>
      <c r="T335" s="1"/>
    </row>
    <row r="336" spans="1:20">
      <c r="A336" s="3"/>
      <c r="B336" s="1"/>
      <c r="C336" s="1"/>
      <c r="D336" s="1"/>
      <c r="E336" s="1"/>
      <c r="F336" s="1"/>
      <c r="G336" s="1"/>
      <c r="H336" s="1"/>
      <c r="I336" s="10">
        <f t="shared" si="16"/>
        <v>0</v>
      </c>
      <c r="J336" s="1"/>
      <c r="K336" s="1"/>
      <c r="L336" s="1">
        <f t="shared" si="18"/>
        <v>0</v>
      </c>
      <c r="M336" s="1"/>
      <c r="N336" s="1"/>
      <c r="O336" s="11">
        <f t="shared" si="17"/>
        <v>0</v>
      </c>
      <c r="P336" s="40"/>
      <c r="Q336" s="69"/>
      <c r="R336" s="1"/>
      <c r="S336" s="1"/>
      <c r="T336" s="1"/>
    </row>
    <row r="337" spans="1:20">
      <c r="A337" s="3"/>
      <c r="B337" s="1"/>
      <c r="C337" s="1"/>
      <c r="D337" s="1"/>
      <c r="E337" s="1"/>
      <c r="F337" s="1"/>
      <c r="G337" s="1"/>
      <c r="H337" s="1"/>
      <c r="I337" s="10">
        <f t="shared" si="16"/>
        <v>0</v>
      </c>
      <c r="J337" s="1"/>
      <c r="K337" s="1"/>
      <c r="L337" s="1">
        <f t="shared" si="18"/>
        <v>0</v>
      </c>
      <c r="M337" s="1"/>
      <c r="N337" s="1"/>
      <c r="O337" s="11">
        <f t="shared" si="17"/>
        <v>0</v>
      </c>
      <c r="P337" s="40"/>
      <c r="Q337" s="69"/>
      <c r="R337" s="1"/>
      <c r="S337" s="1"/>
      <c r="T337" s="1"/>
    </row>
    <row r="338" spans="1:20">
      <c r="A338" s="3"/>
      <c r="B338" s="1"/>
      <c r="C338" s="1"/>
      <c r="D338" s="1"/>
      <c r="E338" s="1"/>
      <c r="F338" s="1"/>
      <c r="G338" s="1"/>
      <c r="H338" s="1"/>
      <c r="I338" s="10">
        <f t="shared" si="16"/>
        <v>0</v>
      </c>
      <c r="J338" s="1"/>
      <c r="K338" s="1"/>
      <c r="L338" s="1">
        <f t="shared" si="18"/>
        <v>0</v>
      </c>
      <c r="M338" s="1"/>
      <c r="N338" s="1"/>
      <c r="O338" s="11">
        <f t="shared" si="17"/>
        <v>0</v>
      </c>
      <c r="P338" s="40"/>
      <c r="Q338" s="69"/>
      <c r="R338" s="1"/>
      <c r="S338" s="1"/>
      <c r="T338" s="1"/>
    </row>
    <row r="339" spans="1:20">
      <c r="A339" s="3"/>
      <c r="B339" s="1"/>
      <c r="C339" s="1"/>
      <c r="D339" s="1"/>
      <c r="E339" s="1"/>
      <c r="F339" s="1"/>
      <c r="G339" s="1"/>
      <c r="H339" s="1"/>
      <c r="I339" s="10">
        <f t="shared" si="16"/>
        <v>0</v>
      </c>
      <c r="J339" s="1"/>
      <c r="K339" s="1"/>
      <c r="L339" s="1">
        <f t="shared" si="18"/>
        <v>0</v>
      </c>
      <c r="M339" s="1"/>
      <c r="N339" s="1"/>
      <c r="O339" s="11">
        <f t="shared" si="17"/>
        <v>0</v>
      </c>
      <c r="P339" s="40"/>
      <c r="Q339" s="69"/>
      <c r="R339" s="1"/>
      <c r="S339" s="1"/>
      <c r="T339" s="1"/>
    </row>
    <row r="340" spans="1:20">
      <c r="A340" s="3"/>
      <c r="B340" s="1"/>
      <c r="C340" s="1"/>
      <c r="D340" s="1"/>
      <c r="E340" s="1"/>
      <c r="F340" s="1"/>
      <c r="G340" s="1"/>
      <c r="H340" s="1"/>
      <c r="I340" s="10">
        <f t="shared" si="16"/>
        <v>0</v>
      </c>
      <c r="J340" s="1"/>
      <c r="K340" s="1"/>
      <c r="L340" s="1">
        <f t="shared" si="18"/>
        <v>0</v>
      </c>
      <c r="M340" s="1"/>
      <c r="N340" s="1"/>
      <c r="O340" s="11">
        <f t="shared" si="17"/>
        <v>0</v>
      </c>
      <c r="P340" s="40"/>
      <c r="Q340" s="69"/>
      <c r="R340" s="1"/>
      <c r="S340" s="1"/>
      <c r="T340" s="1"/>
    </row>
    <row r="341" spans="1:20">
      <c r="A341" s="3"/>
      <c r="B341" s="1"/>
      <c r="C341" s="1"/>
      <c r="D341" s="1"/>
      <c r="E341" s="1"/>
      <c r="F341" s="1"/>
      <c r="G341" s="1"/>
      <c r="H341" s="1"/>
      <c r="I341" s="10">
        <f t="shared" si="16"/>
        <v>0</v>
      </c>
      <c r="J341" s="1"/>
      <c r="K341" s="1"/>
      <c r="L341" s="1">
        <f t="shared" si="18"/>
        <v>0</v>
      </c>
      <c r="M341" s="1"/>
      <c r="N341" s="1"/>
      <c r="O341" s="11">
        <f t="shared" si="17"/>
        <v>0</v>
      </c>
      <c r="P341" s="40"/>
      <c r="Q341" s="69"/>
      <c r="R341" s="1"/>
      <c r="S341" s="1"/>
      <c r="T341" s="1"/>
    </row>
    <row r="342" spans="1:20">
      <c r="A342" s="3"/>
      <c r="B342" s="1"/>
      <c r="C342" s="1"/>
      <c r="D342" s="1"/>
      <c r="E342" s="1"/>
      <c r="F342" s="1"/>
      <c r="G342" s="1"/>
      <c r="H342" s="1"/>
      <c r="I342" s="10">
        <f t="shared" si="16"/>
        <v>0</v>
      </c>
      <c r="J342" s="1"/>
      <c r="K342" s="1"/>
      <c r="L342" s="1">
        <f t="shared" si="18"/>
        <v>0</v>
      </c>
      <c r="M342" s="1"/>
      <c r="N342" s="1"/>
      <c r="O342" s="11">
        <f t="shared" si="17"/>
        <v>0</v>
      </c>
      <c r="P342" s="40"/>
      <c r="Q342" s="69"/>
      <c r="R342" s="1"/>
      <c r="S342" s="1"/>
      <c r="T342" s="1"/>
    </row>
    <row r="343" spans="1:20">
      <c r="A343" s="3"/>
      <c r="B343" s="1"/>
      <c r="C343" s="1"/>
      <c r="D343" s="1"/>
      <c r="E343" s="1"/>
      <c r="F343" s="1"/>
      <c r="G343" s="1"/>
      <c r="H343" s="1"/>
      <c r="I343" s="10">
        <f t="shared" si="16"/>
        <v>0</v>
      </c>
      <c r="J343" s="1"/>
      <c r="K343" s="1"/>
      <c r="L343" s="1">
        <f t="shared" si="18"/>
        <v>0</v>
      </c>
      <c r="M343" s="1"/>
      <c r="N343" s="1"/>
      <c r="O343" s="11">
        <f t="shared" si="17"/>
        <v>0</v>
      </c>
      <c r="P343" s="40"/>
      <c r="Q343" s="69"/>
      <c r="R343" s="1"/>
      <c r="S343" s="1"/>
      <c r="T343" s="1"/>
    </row>
    <row r="344" spans="1:20">
      <c r="A344" s="3"/>
      <c r="B344" s="1"/>
      <c r="C344" s="1"/>
      <c r="D344" s="1"/>
      <c r="E344" s="1"/>
      <c r="F344" s="1"/>
      <c r="G344" s="1"/>
      <c r="H344" s="1"/>
      <c r="I344" s="10">
        <f t="shared" si="16"/>
        <v>0</v>
      </c>
      <c r="J344" s="1"/>
      <c r="K344" s="1"/>
      <c r="L344" s="1">
        <f t="shared" si="18"/>
        <v>0</v>
      </c>
      <c r="M344" s="1"/>
      <c r="N344" s="1"/>
      <c r="O344" s="11">
        <f t="shared" si="17"/>
        <v>0</v>
      </c>
      <c r="P344" s="40"/>
      <c r="Q344" s="69"/>
      <c r="R344" s="1"/>
      <c r="S344" s="1"/>
      <c r="T344" s="1"/>
    </row>
    <row r="345" spans="1:20">
      <c r="A345" s="3"/>
      <c r="B345" s="1"/>
      <c r="C345" s="1"/>
      <c r="D345" s="1"/>
      <c r="E345" s="1"/>
      <c r="F345" s="1"/>
      <c r="G345" s="1"/>
      <c r="H345" s="1"/>
      <c r="I345" s="10">
        <f t="shared" si="16"/>
        <v>0</v>
      </c>
      <c r="J345" s="1"/>
      <c r="K345" s="1"/>
      <c r="L345" s="1">
        <f t="shared" si="18"/>
        <v>0</v>
      </c>
      <c r="M345" s="1"/>
      <c r="N345" s="1"/>
      <c r="O345" s="11">
        <f t="shared" si="17"/>
        <v>0</v>
      </c>
      <c r="P345" s="40"/>
      <c r="Q345" s="69"/>
      <c r="R345" s="1"/>
      <c r="S345" s="1"/>
      <c r="T345" s="1"/>
    </row>
    <row r="346" spans="1:20">
      <c r="A346" s="3"/>
      <c r="B346" s="1"/>
      <c r="C346" s="1"/>
      <c r="D346" s="1"/>
      <c r="E346" s="1"/>
      <c r="F346" s="1"/>
      <c r="G346" s="1"/>
      <c r="H346" s="1"/>
      <c r="I346" s="10">
        <f t="shared" si="16"/>
        <v>0</v>
      </c>
      <c r="J346" s="1"/>
      <c r="K346" s="1"/>
      <c r="L346" s="1">
        <f t="shared" si="18"/>
        <v>0</v>
      </c>
      <c r="M346" s="1"/>
      <c r="N346" s="1"/>
      <c r="O346" s="11">
        <f t="shared" si="17"/>
        <v>0</v>
      </c>
      <c r="P346" s="40"/>
      <c r="Q346" s="69"/>
      <c r="R346" s="1"/>
      <c r="S346" s="1"/>
      <c r="T346" s="1"/>
    </row>
    <row r="347" spans="1:20">
      <c r="A347" s="3"/>
      <c r="B347" s="1"/>
      <c r="C347" s="1"/>
      <c r="D347" s="1"/>
      <c r="E347" s="1"/>
      <c r="F347" s="1"/>
      <c r="G347" s="1"/>
      <c r="H347" s="1"/>
      <c r="I347" s="10">
        <f t="shared" si="16"/>
        <v>0</v>
      </c>
      <c r="J347" s="1"/>
      <c r="K347" s="1"/>
      <c r="L347" s="1">
        <f t="shared" si="18"/>
        <v>0</v>
      </c>
      <c r="M347" s="1"/>
      <c r="N347" s="1"/>
      <c r="O347" s="11">
        <f t="shared" si="17"/>
        <v>0</v>
      </c>
      <c r="P347" s="40"/>
      <c r="Q347" s="69"/>
      <c r="R347" s="1"/>
      <c r="S347" s="1"/>
      <c r="T347" s="1"/>
    </row>
    <row r="348" spans="1:20">
      <c r="A348" s="3"/>
      <c r="B348" s="1"/>
      <c r="C348" s="1"/>
      <c r="D348" s="1"/>
      <c r="E348" s="1"/>
      <c r="F348" s="1"/>
      <c r="G348" s="1"/>
      <c r="H348" s="1"/>
      <c r="I348" s="10">
        <f t="shared" si="16"/>
        <v>0</v>
      </c>
      <c r="J348" s="1"/>
      <c r="K348" s="1"/>
      <c r="L348" s="1">
        <f t="shared" si="18"/>
        <v>0</v>
      </c>
      <c r="M348" s="1"/>
      <c r="N348" s="1"/>
      <c r="O348" s="11">
        <f t="shared" si="17"/>
        <v>0</v>
      </c>
      <c r="P348" s="40"/>
      <c r="Q348" s="69"/>
      <c r="R348" s="1"/>
      <c r="S348" s="1"/>
      <c r="T348" s="1"/>
    </row>
    <row r="349" spans="1:20">
      <c r="A349" s="3"/>
      <c r="B349" s="1"/>
      <c r="C349" s="1"/>
      <c r="D349" s="1"/>
      <c r="E349" s="1"/>
      <c r="F349" s="1"/>
      <c r="G349" s="1"/>
      <c r="H349" s="1"/>
      <c r="I349" s="10">
        <f t="shared" si="16"/>
        <v>0</v>
      </c>
      <c r="J349" s="1"/>
      <c r="K349" s="1"/>
      <c r="L349" s="1">
        <f t="shared" si="18"/>
        <v>0</v>
      </c>
      <c r="M349" s="1"/>
      <c r="N349" s="1"/>
      <c r="O349" s="11">
        <f t="shared" si="17"/>
        <v>0</v>
      </c>
      <c r="P349" s="40"/>
      <c r="Q349" s="69"/>
      <c r="R349" s="1"/>
      <c r="S349" s="1"/>
      <c r="T349" s="1"/>
    </row>
    <row r="350" spans="1:20">
      <c r="A350" s="3"/>
      <c r="B350" s="1"/>
      <c r="C350" s="1"/>
      <c r="D350" s="1"/>
      <c r="E350" s="1"/>
      <c r="F350" s="1"/>
      <c r="G350" s="1"/>
      <c r="H350" s="1"/>
      <c r="I350" s="10">
        <f t="shared" si="16"/>
        <v>0</v>
      </c>
      <c r="J350" s="1"/>
      <c r="K350" s="1"/>
      <c r="L350" s="1">
        <f t="shared" si="18"/>
        <v>0</v>
      </c>
      <c r="M350" s="1"/>
      <c r="N350" s="1"/>
      <c r="O350" s="11">
        <f t="shared" si="17"/>
        <v>0</v>
      </c>
      <c r="P350" s="40"/>
      <c r="Q350" s="69"/>
      <c r="R350" s="1"/>
      <c r="S350" s="1"/>
      <c r="T350" s="1"/>
    </row>
    <row r="351" spans="1:20">
      <c r="A351" s="3"/>
      <c r="B351" s="1"/>
      <c r="C351" s="1"/>
      <c r="D351" s="1"/>
      <c r="E351" s="1"/>
      <c r="F351" s="1"/>
      <c r="G351" s="1"/>
      <c r="H351" s="1"/>
      <c r="I351" s="10">
        <f t="shared" si="16"/>
        <v>0</v>
      </c>
      <c r="J351" s="1"/>
      <c r="K351" s="1"/>
      <c r="L351" s="1">
        <f t="shared" si="18"/>
        <v>0</v>
      </c>
      <c r="M351" s="1"/>
      <c r="N351" s="1"/>
      <c r="O351" s="11">
        <f t="shared" si="17"/>
        <v>0</v>
      </c>
      <c r="P351" s="40"/>
      <c r="Q351" s="69"/>
      <c r="R351" s="1"/>
      <c r="S351" s="1"/>
      <c r="T351" s="1"/>
    </row>
    <row r="352" spans="1:20">
      <c r="A352" s="3"/>
      <c r="B352" s="1"/>
      <c r="C352" s="1"/>
      <c r="D352" s="1"/>
      <c r="E352" s="1"/>
      <c r="F352" s="1"/>
      <c r="G352" s="1"/>
      <c r="H352" s="1"/>
      <c r="I352" s="10">
        <f t="shared" si="16"/>
        <v>0</v>
      </c>
      <c r="J352" s="1"/>
      <c r="K352" s="1"/>
      <c r="L352" s="1">
        <f t="shared" si="18"/>
        <v>0</v>
      </c>
      <c r="M352" s="1"/>
      <c r="N352" s="1"/>
      <c r="O352" s="11">
        <f t="shared" si="17"/>
        <v>0</v>
      </c>
      <c r="P352" s="40"/>
      <c r="Q352" s="69"/>
      <c r="R352" s="1"/>
      <c r="S352" s="1"/>
      <c r="T352" s="1"/>
    </row>
    <row r="353" spans="1:20">
      <c r="A353" s="3"/>
      <c r="B353" s="1"/>
      <c r="C353" s="1"/>
      <c r="D353" s="1"/>
      <c r="E353" s="1"/>
      <c r="F353" s="1"/>
      <c r="G353" s="1"/>
      <c r="H353" s="1"/>
      <c r="I353" s="10">
        <f t="shared" si="16"/>
        <v>0</v>
      </c>
      <c r="J353" s="1"/>
      <c r="K353" s="1"/>
      <c r="L353" s="1">
        <f t="shared" si="18"/>
        <v>0</v>
      </c>
      <c r="M353" s="1"/>
      <c r="N353" s="1"/>
      <c r="O353" s="11">
        <f t="shared" si="17"/>
        <v>0</v>
      </c>
      <c r="P353" s="40"/>
      <c r="Q353" s="69"/>
      <c r="R353" s="1"/>
      <c r="S353" s="1"/>
      <c r="T353" s="1"/>
    </row>
    <row r="354" spans="1:20">
      <c r="A354" s="3"/>
      <c r="B354" s="1"/>
      <c r="C354" s="1"/>
      <c r="D354" s="1"/>
      <c r="E354" s="1"/>
      <c r="F354" s="1"/>
      <c r="G354" s="1"/>
      <c r="H354" s="1"/>
      <c r="I354" s="10">
        <f t="shared" si="16"/>
        <v>0</v>
      </c>
      <c r="J354" s="1"/>
      <c r="K354" s="1"/>
      <c r="L354" s="1">
        <f t="shared" si="18"/>
        <v>0</v>
      </c>
      <c r="M354" s="1"/>
      <c r="N354" s="1"/>
      <c r="O354" s="11">
        <f t="shared" si="17"/>
        <v>0</v>
      </c>
      <c r="P354" s="40"/>
      <c r="Q354" s="69"/>
      <c r="R354" s="1"/>
      <c r="S354" s="1"/>
      <c r="T354" s="1"/>
    </row>
    <row r="355" spans="1:20">
      <c r="A355" s="3"/>
      <c r="B355" s="1"/>
      <c r="C355" s="1"/>
      <c r="D355" s="1"/>
      <c r="E355" s="1"/>
      <c r="F355" s="1"/>
      <c r="G355" s="1"/>
      <c r="H355" s="1"/>
      <c r="I355" s="10">
        <f t="shared" si="16"/>
        <v>0</v>
      </c>
      <c r="J355" s="1"/>
      <c r="K355" s="1"/>
      <c r="L355" s="1">
        <f t="shared" si="18"/>
        <v>0</v>
      </c>
      <c r="M355" s="1"/>
      <c r="N355" s="1"/>
      <c r="O355" s="11">
        <f t="shared" si="17"/>
        <v>0</v>
      </c>
      <c r="P355" s="40"/>
      <c r="Q355" s="69"/>
      <c r="R355" s="1"/>
      <c r="S355" s="1"/>
      <c r="T355" s="1"/>
    </row>
    <row r="356" spans="1:20">
      <c r="A356" s="3"/>
      <c r="B356" s="1"/>
      <c r="C356" s="1"/>
      <c r="D356" s="1"/>
      <c r="E356" s="1"/>
      <c r="F356" s="1"/>
      <c r="G356" s="1"/>
      <c r="H356" s="1"/>
      <c r="I356" s="10">
        <f t="shared" si="16"/>
        <v>0</v>
      </c>
      <c r="J356" s="1"/>
      <c r="K356" s="1"/>
      <c r="L356" s="1">
        <f t="shared" si="18"/>
        <v>0</v>
      </c>
      <c r="M356" s="1"/>
      <c r="N356" s="1"/>
      <c r="O356" s="11">
        <f t="shared" si="17"/>
        <v>0</v>
      </c>
      <c r="P356" s="40"/>
      <c r="Q356" s="69"/>
      <c r="R356" s="1"/>
      <c r="S356" s="1"/>
      <c r="T356" s="1"/>
    </row>
    <row r="357" spans="1:20">
      <c r="A357" s="3"/>
      <c r="B357" s="1"/>
      <c r="C357" s="1"/>
      <c r="D357" s="1"/>
      <c r="E357" s="1"/>
      <c r="F357" s="1"/>
      <c r="G357" s="1"/>
      <c r="H357" s="1"/>
      <c r="I357" s="10">
        <f t="shared" si="16"/>
        <v>0</v>
      </c>
      <c r="J357" s="1"/>
      <c r="K357" s="1"/>
      <c r="L357" s="1">
        <f t="shared" si="18"/>
        <v>0</v>
      </c>
      <c r="M357" s="1"/>
      <c r="N357" s="1"/>
      <c r="O357" s="11">
        <f t="shared" si="17"/>
        <v>0</v>
      </c>
      <c r="P357" s="40"/>
      <c r="Q357" s="69"/>
      <c r="R357" s="1"/>
      <c r="S357" s="1"/>
      <c r="T357" s="1"/>
    </row>
    <row r="358" spans="1:20">
      <c r="A358" s="3"/>
      <c r="B358" s="1"/>
      <c r="C358" s="1"/>
      <c r="D358" s="1"/>
      <c r="E358" s="1"/>
      <c r="F358" s="1"/>
      <c r="G358" s="1"/>
      <c r="H358" s="1"/>
      <c r="I358" s="10">
        <f t="shared" si="16"/>
        <v>0</v>
      </c>
      <c r="J358" s="1"/>
      <c r="K358" s="1"/>
      <c r="L358" s="1">
        <f t="shared" si="18"/>
        <v>0</v>
      </c>
      <c r="M358" s="1"/>
      <c r="N358" s="1"/>
      <c r="O358" s="11">
        <f t="shared" si="17"/>
        <v>0</v>
      </c>
      <c r="P358" s="40"/>
      <c r="Q358" s="69"/>
      <c r="R358" s="1"/>
      <c r="S358" s="1"/>
      <c r="T358" s="1"/>
    </row>
    <row r="359" spans="1:20">
      <c r="A359" s="3"/>
      <c r="B359" s="1"/>
      <c r="C359" s="1"/>
      <c r="D359" s="1"/>
      <c r="E359" s="1"/>
      <c r="F359" s="1"/>
      <c r="G359" s="1"/>
      <c r="H359" s="1"/>
      <c r="I359" s="10">
        <f t="shared" si="16"/>
        <v>0</v>
      </c>
      <c r="J359" s="1"/>
      <c r="K359" s="1"/>
      <c r="L359" s="1">
        <f t="shared" si="18"/>
        <v>0</v>
      </c>
      <c r="M359" s="1"/>
      <c r="N359" s="1"/>
      <c r="O359" s="11">
        <f t="shared" si="17"/>
        <v>0</v>
      </c>
      <c r="P359" s="40"/>
      <c r="Q359" s="69"/>
      <c r="R359" s="1"/>
      <c r="S359" s="1"/>
      <c r="T359" s="1"/>
    </row>
    <row r="360" spans="1:20">
      <c r="A360" s="3"/>
      <c r="B360" s="1"/>
      <c r="C360" s="1"/>
      <c r="D360" s="1"/>
      <c r="E360" s="1"/>
      <c r="F360" s="1"/>
      <c r="G360" s="1"/>
      <c r="H360" s="1"/>
      <c r="I360" s="10">
        <f t="shared" si="16"/>
        <v>0</v>
      </c>
      <c r="J360" s="1"/>
      <c r="K360" s="1"/>
      <c r="L360" s="1">
        <f t="shared" si="18"/>
        <v>0</v>
      </c>
      <c r="M360" s="1"/>
      <c r="N360" s="1"/>
      <c r="O360" s="11">
        <f t="shared" si="17"/>
        <v>0</v>
      </c>
      <c r="P360" s="40"/>
      <c r="Q360" s="69"/>
      <c r="R360" s="1"/>
      <c r="S360" s="1"/>
      <c r="T360" s="1"/>
    </row>
    <row r="361" spans="1:20">
      <c r="A361" s="3"/>
      <c r="B361" s="1"/>
      <c r="C361" s="1"/>
      <c r="D361" s="1"/>
      <c r="E361" s="1"/>
      <c r="F361" s="1"/>
      <c r="G361" s="1"/>
      <c r="H361" s="1"/>
      <c r="I361" s="10">
        <f t="shared" si="16"/>
        <v>0</v>
      </c>
      <c r="J361" s="1"/>
      <c r="K361" s="1"/>
      <c r="L361" s="1">
        <f t="shared" si="18"/>
        <v>0</v>
      </c>
      <c r="M361" s="1"/>
      <c r="N361" s="1"/>
      <c r="O361" s="11">
        <f t="shared" si="17"/>
        <v>0</v>
      </c>
      <c r="P361" s="40"/>
      <c r="Q361" s="69"/>
      <c r="R361" s="1"/>
      <c r="S361" s="1"/>
      <c r="T361" s="1"/>
    </row>
    <row r="362" spans="1:20">
      <c r="A362" s="3"/>
      <c r="B362" s="1"/>
      <c r="C362" s="1"/>
      <c r="D362" s="1"/>
      <c r="E362" s="1"/>
      <c r="F362" s="1"/>
      <c r="G362" s="1"/>
      <c r="H362" s="1"/>
      <c r="I362" s="10">
        <f t="shared" si="16"/>
        <v>0</v>
      </c>
      <c r="J362" s="1"/>
      <c r="K362" s="1"/>
      <c r="L362" s="1">
        <f t="shared" si="18"/>
        <v>0</v>
      </c>
      <c r="M362" s="1"/>
      <c r="N362" s="1"/>
      <c r="O362" s="11">
        <f t="shared" si="17"/>
        <v>0</v>
      </c>
      <c r="P362" s="40"/>
      <c r="Q362" s="69"/>
      <c r="R362" s="1"/>
      <c r="S362" s="1"/>
      <c r="T362" s="1"/>
    </row>
    <row r="363" spans="1:20">
      <c r="A363" s="3"/>
      <c r="B363" s="1"/>
      <c r="C363" s="1"/>
      <c r="D363" s="1"/>
      <c r="E363" s="1"/>
      <c r="F363" s="1"/>
      <c r="G363" s="1"/>
      <c r="H363" s="1"/>
      <c r="I363" s="10">
        <f t="shared" si="16"/>
        <v>0</v>
      </c>
      <c r="J363" s="1"/>
      <c r="K363" s="1"/>
      <c r="L363" s="1">
        <f t="shared" si="18"/>
        <v>0</v>
      </c>
      <c r="M363" s="1"/>
      <c r="N363" s="1"/>
      <c r="O363" s="11">
        <f t="shared" si="17"/>
        <v>0</v>
      </c>
      <c r="P363" s="40"/>
      <c r="Q363" s="69"/>
      <c r="R363" s="1"/>
      <c r="S363" s="1"/>
      <c r="T363" s="1"/>
    </row>
    <row r="364" spans="1:20">
      <c r="A364" s="3"/>
      <c r="B364" s="1"/>
      <c r="C364" s="1"/>
      <c r="D364" s="1"/>
      <c r="E364" s="1"/>
      <c r="F364" s="1"/>
      <c r="G364" s="1"/>
      <c r="H364" s="1"/>
      <c r="I364" s="10">
        <f t="shared" si="16"/>
        <v>0</v>
      </c>
      <c r="J364" s="1"/>
      <c r="K364" s="1"/>
      <c r="L364" s="1">
        <f t="shared" si="18"/>
        <v>0</v>
      </c>
      <c r="M364" s="1"/>
      <c r="N364" s="1"/>
      <c r="O364" s="11">
        <f t="shared" si="17"/>
        <v>0</v>
      </c>
      <c r="P364" s="40"/>
      <c r="Q364" s="69"/>
      <c r="R364" s="1"/>
      <c r="S364" s="1"/>
      <c r="T364" s="1"/>
    </row>
    <row r="365" spans="1:20">
      <c r="A365" s="3"/>
      <c r="B365" s="1"/>
      <c r="C365" s="1"/>
      <c r="D365" s="1"/>
      <c r="E365" s="1"/>
      <c r="F365" s="1"/>
      <c r="G365" s="1"/>
      <c r="H365" s="1"/>
      <c r="I365" s="10">
        <f t="shared" si="16"/>
        <v>0</v>
      </c>
      <c r="J365" s="1"/>
      <c r="K365" s="1"/>
      <c r="L365" s="1">
        <f t="shared" si="18"/>
        <v>0</v>
      </c>
      <c r="M365" s="1"/>
      <c r="N365" s="1"/>
      <c r="O365" s="11">
        <f t="shared" si="17"/>
        <v>0</v>
      </c>
      <c r="P365" s="40"/>
      <c r="Q365" s="69"/>
      <c r="R365" s="1"/>
      <c r="S365" s="1"/>
      <c r="T365" s="1"/>
    </row>
    <row r="366" spans="1:20">
      <c r="A366" s="3"/>
      <c r="B366" s="1"/>
      <c r="C366" s="1"/>
      <c r="D366" s="1"/>
      <c r="E366" s="1"/>
      <c r="F366" s="1"/>
      <c r="G366" s="1"/>
      <c r="H366" s="1"/>
      <c r="I366" s="10">
        <f t="shared" si="16"/>
        <v>0</v>
      </c>
      <c r="J366" s="1"/>
      <c r="K366" s="1"/>
      <c r="L366" s="1">
        <f t="shared" si="18"/>
        <v>0</v>
      </c>
      <c r="M366" s="1"/>
      <c r="N366" s="1"/>
      <c r="O366" s="11">
        <f t="shared" si="17"/>
        <v>0</v>
      </c>
      <c r="P366" s="40"/>
      <c r="Q366" s="69"/>
      <c r="R366" s="1"/>
      <c r="S366" s="1"/>
      <c r="T366" s="1"/>
    </row>
    <row r="367" spans="1:20">
      <c r="A367" s="3"/>
      <c r="B367" s="1"/>
      <c r="C367" s="1"/>
      <c r="D367" s="1"/>
      <c r="E367" s="1"/>
      <c r="F367" s="1"/>
      <c r="G367" s="1"/>
      <c r="H367" s="1"/>
      <c r="I367" s="10">
        <f t="shared" si="16"/>
        <v>0</v>
      </c>
      <c r="J367" s="1"/>
      <c r="K367" s="1"/>
      <c r="L367" s="1">
        <f t="shared" si="18"/>
        <v>0</v>
      </c>
      <c r="M367" s="1"/>
      <c r="N367" s="1"/>
      <c r="O367" s="11">
        <f t="shared" si="17"/>
        <v>0</v>
      </c>
      <c r="P367" s="40"/>
      <c r="Q367" s="69"/>
      <c r="R367" s="1"/>
      <c r="S367" s="1"/>
      <c r="T367" s="1"/>
    </row>
    <row r="368" spans="1:20">
      <c r="A368" s="3"/>
      <c r="B368" s="1"/>
      <c r="C368" s="1"/>
      <c r="D368" s="1"/>
      <c r="E368" s="1"/>
      <c r="F368" s="1"/>
      <c r="G368" s="1"/>
      <c r="H368" s="1"/>
      <c r="I368" s="10">
        <f t="shared" si="16"/>
        <v>0</v>
      </c>
      <c r="J368" s="1"/>
      <c r="K368" s="1"/>
      <c r="L368" s="1">
        <f t="shared" si="18"/>
        <v>0</v>
      </c>
      <c r="M368" s="1"/>
      <c r="N368" s="1"/>
      <c r="O368" s="11">
        <f t="shared" si="17"/>
        <v>0</v>
      </c>
      <c r="P368" s="40"/>
      <c r="Q368" s="69"/>
      <c r="R368" s="1"/>
      <c r="S368" s="1"/>
      <c r="T368" s="1"/>
    </row>
    <row r="369" spans="1:20">
      <c r="A369" s="3"/>
      <c r="B369" s="1"/>
      <c r="C369" s="1"/>
      <c r="D369" s="1"/>
      <c r="E369" s="1"/>
      <c r="F369" s="1"/>
      <c r="G369" s="1"/>
      <c r="H369" s="1"/>
      <c r="I369" s="10">
        <f t="shared" si="16"/>
        <v>0</v>
      </c>
      <c r="J369" s="1"/>
      <c r="K369" s="1"/>
      <c r="L369" s="1">
        <f t="shared" si="18"/>
        <v>0</v>
      </c>
      <c r="M369" s="1"/>
      <c r="N369" s="1"/>
      <c r="O369" s="11">
        <f t="shared" si="17"/>
        <v>0</v>
      </c>
      <c r="P369" s="40"/>
      <c r="Q369" s="69"/>
      <c r="R369" s="1"/>
      <c r="S369" s="1"/>
      <c r="T369" s="1"/>
    </row>
    <row r="370" spans="1:20">
      <c r="A370" s="3"/>
      <c r="B370" s="1"/>
      <c r="C370" s="1"/>
      <c r="D370" s="1"/>
      <c r="E370" s="1"/>
      <c r="F370" s="1"/>
      <c r="G370" s="1"/>
      <c r="H370" s="1"/>
      <c r="I370" s="10">
        <f t="shared" si="16"/>
        <v>0</v>
      </c>
      <c r="J370" s="1"/>
      <c r="K370" s="1"/>
      <c r="L370" s="1">
        <f t="shared" si="18"/>
        <v>0</v>
      </c>
      <c r="M370" s="1"/>
      <c r="N370" s="1"/>
      <c r="O370" s="11">
        <f t="shared" si="17"/>
        <v>0</v>
      </c>
      <c r="P370" s="40"/>
      <c r="Q370" s="69"/>
      <c r="R370" s="1"/>
      <c r="S370" s="1"/>
      <c r="T370" s="1"/>
    </row>
    <row r="371" spans="1:20">
      <c r="A371" s="3"/>
      <c r="B371" s="1"/>
      <c r="C371" s="1"/>
      <c r="D371" s="1"/>
      <c r="E371" s="1"/>
      <c r="F371" s="1"/>
      <c r="G371" s="1"/>
      <c r="H371" s="1"/>
      <c r="I371" s="10">
        <f t="shared" si="16"/>
        <v>0</v>
      </c>
      <c r="J371" s="1"/>
      <c r="K371" s="1"/>
      <c r="L371" s="1">
        <f t="shared" si="18"/>
        <v>0</v>
      </c>
      <c r="M371" s="1"/>
      <c r="N371" s="1"/>
      <c r="O371" s="11">
        <f t="shared" si="17"/>
        <v>0</v>
      </c>
      <c r="P371" s="40"/>
      <c r="Q371" s="69"/>
      <c r="R371" s="1"/>
      <c r="S371" s="1"/>
      <c r="T371" s="1"/>
    </row>
    <row r="372" spans="1:20">
      <c r="A372" s="3"/>
      <c r="B372" s="1"/>
      <c r="C372" s="1"/>
      <c r="D372" s="1"/>
      <c r="E372" s="1"/>
      <c r="F372" s="1"/>
      <c r="G372" s="1"/>
      <c r="H372" s="1"/>
      <c r="I372" s="10">
        <f t="shared" si="16"/>
        <v>0</v>
      </c>
      <c r="J372" s="1"/>
      <c r="K372" s="1"/>
      <c r="L372" s="1">
        <f t="shared" si="18"/>
        <v>0</v>
      </c>
      <c r="M372" s="1"/>
      <c r="N372" s="1"/>
      <c r="O372" s="11">
        <f t="shared" si="17"/>
        <v>0</v>
      </c>
      <c r="P372" s="40"/>
      <c r="Q372" s="69"/>
      <c r="R372" s="1"/>
      <c r="S372" s="1"/>
      <c r="T372" s="1"/>
    </row>
    <row r="373" spans="1:20">
      <c r="A373" s="3"/>
      <c r="B373" s="1"/>
      <c r="C373" s="1"/>
      <c r="D373" s="1"/>
      <c r="E373" s="1"/>
      <c r="F373" s="1"/>
      <c r="G373" s="1"/>
      <c r="H373" s="1"/>
      <c r="I373" s="10">
        <f t="shared" si="16"/>
        <v>0</v>
      </c>
      <c r="J373" s="1"/>
      <c r="K373" s="1"/>
      <c r="L373" s="1">
        <f t="shared" si="18"/>
        <v>0</v>
      </c>
      <c r="M373" s="1"/>
      <c r="N373" s="1"/>
      <c r="O373" s="11">
        <f t="shared" si="17"/>
        <v>0</v>
      </c>
      <c r="P373" s="40"/>
      <c r="Q373" s="69"/>
      <c r="R373" s="1"/>
      <c r="S373" s="1"/>
      <c r="T373" s="1"/>
    </row>
    <row r="374" spans="1:20">
      <c r="A374" s="3"/>
      <c r="B374" s="1"/>
      <c r="C374" s="1"/>
      <c r="D374" s="1"/>
      <c r="E374" s="1"/>
      <c r="F374" s="1"/>
      <c r="G374" s="1"/>
      <c r="H374" s="1"/>
      <c r="I374" s="10">
        <f t="shared" si="16"/>
        <v>0</v>
      </c>
      <c r="J374" s="1"/>
      <c r="K374" s="1"/>
      <c r="L374" s="1">
        <f t="shared" si="18"/>
        <v>0</v>
      </c>
      <c r="M374" s="1"/>
      <c r="N374" s="1"/>
      <c r="O374" s="11">
        <f t="shared" si="17"/>
        <v>0</v>
      </c>
      <c r="P374" s="40"/>
      <c r="Q374" s="69"/>
      <c r="R374" s="1"/>
      <c r="S374" s="1"/>
      <c r="T374" s="1"/>
    </row>
    <row r="375" spans="1:20">
      <c r="A375" s="3"/>
      <c r="B375" s="1"/>
      <c r="C375" s="1"/>
      <c r="D375" s="1"/>
      <c r="E375" s="1"/>
      <c r="F375" s="1"/>
      <c r="G375" s="1"/>
      <c r="H375" s="1"/>
      <c r="I375" s="10">
        <f t="shared" si="16"/>
        <v>0</v>
      </c>
      <c r="J375" s="1"/>
      <c r="K375" s="1"/>
      <c r="L375" s="1">
        <f t="shared" si="18"/>
        <v>0</v>
      </c>
      <c r="M375" s="1"/>
      <c r="N375" s="1"/>
      <c r="O375" s="11">
        <f t="shared" si="17"/>
        <v>0</v>
      </c>
      <c r="P375" s="40"/>
      <c r="Q375" s="69"/>
      <c r="R375" s="1"/>
      <c r="S375" s="1"/>
      <c r="T375" s="1"/>
    </row>
    <row r="376" spans="1:20">
      <c r="A376" s="3"/>
      <c r="B376" s="1"/>
      <c r="C376" s="1"/>
      <c r="D376" s="1"/>
      <c r="E376" s="1"/>
      <c r="F376" s="1"/>
      <c r="G376" s="1"/>
      <c r="H376" s="1"/>
      <c r="I376" s="10">
        <f t="shared" si="16"/>
        <v>0</v>
      </c>
      <c r="J376" s="1"/>
      <c r="K376" s="1"/>
      <c r="L376" s="1">
        <f t="shared" si="18"/>
        <v>0</v>
      </c>
      <c r="M376" s="1"/>
      <c r="N376" s="1"/>
      <c r="O376" s="11">
        <f t="shared" si="17"/>
        <v>0</v>
      </c>
      <c r="P376" s="40"/>
      <c r="Q376" s="69"/>
      <c r="R376" s="1"/>
      <c r="S376" s="1"/>
      <c r="T376" s="1"/>
    </row>
    <row r="377" spans="1:20">
      <c r="A377" s="3"/>
      <c r="B377" s="1"/>
      <c r="C377" s="1"/>
      <c r="D377" s="1"/>
      <c r="E377" s="1"/>
      <c r="F377" s="1"/>
      <c r="G377" s="1"/>
      <c r="H377" s="1"/>
      <c r="I377" s="10">
        <f t="shared" si="16"/>
        <v>0</v>
      </c>
      <c r="J377" s="1"/>
      <c r="K377" s="1"/>
      <c r="L377" s="1">
        <f t="shared" si="18"/>
        <v>0</v>
      </c>
      <c r="M377" s="1"/>
      <c r="N377" s="1"/>
      <c r="O377" s="11">
        <f t="shared" si="17"/>
        <v>0</v>
      </c>
      <c r="P377" s="40"/>
      <c r="Q377" s="69"/>
      <c r="R377" s="1"/>
      <c r="S377" s="1"/>
      <c r="T377" s="1"/>
    </row>
    <row r="378" spans="1:20">
      <c r="A378" s="3"/>
      <c r="B378" s="1"/>
      <c r="C378" s="1"/>
      <c r="D378" s="1"/>
      <c r="E378" s="1"/>
      <c r="F378" s="1"/>
      <c r="G378" s="1"/>
      <c r="H378" s="1"/>
      <c r="I378" s="10">
        <f t="shared" si="16"/>
        <v>0</v>
      </c>
      <c r="J378" s="1"/>
      <c r="K378" s="1"/>
      <c r="L378" s="1">
        <f t="shared" si="18"/>
        <v>0</v>
      </c>
      <c r="M378" s="1"/>
      <c r="N378" s="1"/>
      <c r="O378" s="11">
        <f t="shared" si="17"/>
        <v>0</v>
      </c>
      <c r="P378" s="40"/>
      <c r="Q378" s="69"/>
      <c r="R378" s="1"/>
      <c r="S378" s="1"/>
      <c r="T378" s="1"/>
    </row>
    <row r="379" spans="1:20">
      <c r="A379" s="3"/>
      <c r="B379" s="1"/>
      <c r="C379" s="1"/>
      <c r="D379" s="1"/>
      <c r="E379" s="1"/>
      <c r="F379" s="1"/>
      <c r="G379" s="1"/>
      <c r="H379" s="1"/>
      <c r="I379" s="10">
        <f t="shared" si="16"/>
        <v>0</v>
      </c>
      <c r="J379" s="1"/>
      <c r="K379" s="1"/>
      <c r="L379" s="1">
        <f t="shared" si="18"/>
        <v>0</v>
      </c>
      <c r="M379" s="1"/>
      <c r="N379" s="1"/>
      <c r="O379" s="11">
        <f t="shared" si="17"/>
        <v>0</v>
      </c>
      <c r="P379" s="40"/>
      <c r="Q379" s="69"/>
      <c r="R379" s="1"/>
      <c r="S379" s="1"/>
      <c r="T379" s="1"/>
    </row>
    <row r="380" spans="1:20">
      <c r="A380" s="3"/>
      <c r="B380" s="1"/>
      <c r="C380" s="1"/>
      <c r="D380" s="1"/>
      <c r="E380" s="1"/>
      <c r="F380" s="1"/>
      <c r="G380" s="1"/>
      <c r="H380" s="1"/>
      <c r="I380" s="10">
        <f t="shared" si="16"/>
        <v>0</v>
      </c>
      <c r="J380" s="1"/>
      <c r="K380" s="1"/>
      <c r="L380" s="1">
        <f t="shared" si="18"/>
        <v>0</v>
      </c>
      <c r="M380" s="1"/>
      <c r="N380" s="1"/>
      <c r="O380" s="11">
        <f t="shared" si="17"/>
        <v>0</v>
      </c>
      <c r="P380" s="40"/>
      <c r="Q380" s="69"/>
      <c r="R380" s="1"/>
      <c r="S380" s="1"/>
      <c r="T380" s="1"/>
    </row>
    <row r="381" spans="1:20">
      <c r="A381" s="3"/>
      <c r="B381" s="1"/>
      <c r="C381" s="1"/>
      <c r="D381" s="1"/>
      <c r="E381" s="1"/>
      <c r="F381" s="1"/>
      <c r="G381" s="1"/>
      <c r="H381" s="1"/>
      <c r="I381" s="10">
        <f t="shared" si="16"/>
        <v>0</v>
      </c>
      <c r="J381" s="1"/>
      <c r="K381" s="1"/>
      <c r="L381" s="1">
        <f t="shared" si="18"/>
        <v>0</v>
      </c>
      <c r="M381" s="1"/>
      <c r="N381" s="1"/>
      <c r="O381" s="11">
        <f t="shared" si="17"/>
        <v>0</v>
      </c>
      <c r="P381" s="40"/>
      <c r="Q381" s="69"/>
      <c r="R381" s="1"/>
      <c r="S381" s="1"/>
      <c r="T381" s="1"/>
    </row>
    <row r="382" spans="1:20">
      <c r="A382" s="3"/>
      <c r="B382" s="1"/>
      <c r="C382" s="1"/>
      <c r="D382" s="1"/>
      <c r="E382" s="1"/>
      <c r="F382" s="1"/>
      <c r="G382" s="1"/>
      <c r="H382" s="1"/>
      <c r="I382" s="10">
        <f t="shared" si="16"/>
        <v>0</v>
      </c>
      <c r="J382" s="1"/>
      <c r="K382" s="1"/>
      <c r="L382" s="1">
        <f t="shared" si="18"/>
        <v>0</v>
      </c>
      <c r="M382" s="1"/>
      <c r="N382" s="1"/>
      <c r="O382" s="11">
        <f t="shared" si="17"/>
        <v>0</v>
      </c>
      <c r="P382" s="40"/>
      <c r="Q382" s="69"/>
      <c r="R382" s="1"/>
      <c r="S382" s="1"/>
      <c r="T382" s="1"/>
    </row>
    <row r="383" spans="1:20">
      <c r="A383" s="3"/>
      <c r="B383" s="1"/>
      <c r="C383" s="1"/>
      <c r="D383" s="1"/>
      <c r="E383" s="1"/>
      <c r="F383" s="1"/>
      <c r="G383" s="1"/>
      <c r="H383" s="1"/>
      <c r="I383" s="10">
        <f t="shared" si="16"/>
        <v>0</v>
      </c>
      <c r="J383" s="1"/>
      <c r="K383" s="1"/>
      <c r="L383" s="1">
        <f t="shared" si="18"/>
        <v>0</v>
      </c>
      <c r="M383" s="1"/>
      <c r="N383" s="1"/>
      <c r="O383" s="11">
        <f t="shared" si="17"/>
        <v>0</v>
      </c>
      <c r="P383" s="40"/>
      <c r="Q383" s="69"/>
      <c r="R383" s="1"/>
      <c r="S383" s="1"/>
      <c r="T383" s="1"/>
    </row>
    <row r="384" spans="1:20">
      <c r="A384" s="3"/>
      <c r="B384" s="1"/>
      <c r="C384" s="1"/>
      <c r="D384" s="1"/>
      <c r="E384" s="1"/>
      <c r="F384" s="1"/>
      <c r="G384" s="1"/>
      <c r="H384" s="1"/>
      <c r="I384" s="10">
        <f t="shared" si="16"/>
        <v>0</v>
      </c>
      <c r="J384" s="1"/>
      <c r="K384" s="1"/>
      <c r="L384" s="1">
        <f t="shared" si="18"/>
        <v>0</v>
      </c>
      <c r="M384" s="1"/>
      <c r="N384" s="1"/>
      <c r="O384" s="11">
        <f t="shared" si="17"/>
        <v>0</v>
      </c>
      <c r="P384" s="40"/>
      <c r="Q384" s="69"/>
      <c r="R384" s="1"/>
      <c r="S384" s="1"/>
      <c r="T384" s="1"/>
    </row>
    <row r="385" spans="1:20">
      <c r="A385" s="3"/>
      <c r="B385" s="1"/>
      <c r="C385" s="1"/>
      <c r="D385" s="1"/>
      <c r="E385" s="1"/>
      <c r="F385" s="1"/>
      <c r="G385" s="1"/>
      <c r="H385" s="1"/>
      <c r="I385" s="10">
        <f t="shared" si="16"/>
        <v>0</v>
      </c>
      <c r="J385" s="1"/>
      <c r="K385" s="1"/>
      <c r="L385" s="1">
        <f t="shared" si="18"/>
        <v>0</v>
      </c>
      <c r="M385" s="1"/>
      <c r="N385" s="1"/>
      <c r="O385" s="11">
        <f t="shared" si="17"/>
        <v>0</v>
      </c>
      <c r="P385" s="40"/>
      <c r="Q385" s="69"/>
      <c r="R385" s="1"/>
      <c r="S385" s="1"/>
      <c r="T385" s="1"/>
    </row>
    <row r="386" spans="1:20">
      <c r="A386" s="3"/>
      <c r="B386" s="1"/>
      <c r="C386" s="1"/>
      <c r="D386" s="1"/>
      <c r="E386" s="1"/>
      <c r="F386" s="1"/>
      <c r="G386" s="1"/>
      <c r="H386" s="1"/>
      <c r="I386" s="10">
        <f t="shared" si="16"/>
        <v>0</v>
      </c>
      <c r="J386" s="1"/>
      <c r="K386" s="1"/>
      <c r="L386" s="1">
        <f t="shared" si="18"/>
        <v>0</v>
      </c>
      <c r="M386" s="1"/>
      <c r="N386" s="1"/>
      <c r="O386" s="11">
        <f t="shared" si="17"/>
        <v>0</v>
      </c>
      <c r="P386" s="40"/>
      <c r="Q386" s="69"/>
      <c r="R386" s="1"/>
      <c r="S386" s="1"/>
      <c r="T386" s="1"/>
    </row>
    <row r="387" spans="1:20">
      <c r="A387" s="3"/>
      <c r="B387" s="1"/>
      <c r="C387" s="1"/>
      <c r="D387" s="1"/>
      <c r="E387" s="1"/>
      <c r="F387" s="1"/>
      <c r="G387" s="1"/>
      <c r="H387" s="1"/>
      <c r="I387" s="10">
        <f t="shared" si="16"/>
        <v>0</v>
      </c>
      <c r="J387" s="1"/>
      <c r="K387" s="1"/>
      <c r="L387" s="1">
        <f t="shared" si="18"/>
        <v>0</v>
      </c>
      <c r="M387" s="1"/>
      <c r="N387" s="1"/>
      <c r="O387" s="11">
        <f t="shared" si="17"/>
        <v>0</v>
      </c>
      <c r="P387" s="40"/>
      <c r="Q387" s="69"/>
      <c r="R387" s="1"/>
      <c r="S387" s="1"/>
      <c r="T387" s="1"/>
    </row>
    <row r="388" spans="1:20">
      <c r="A388" s="3"/>
      <c r="B388" s="1"/>
      <c r="C388" s="1"/>
      <c r="D388" s="1"/>
      <c r="E388" s="1"/>
      <c r="F388" s="1"/>
      <c r="G388" s="1"/>
      <c r="H388" s="1"/>
      <c r="I388" s="10">
        <f t="shared" si="16"/>
        <v>0</v>
      </c>
      <c r="J388" s="1"/>
      <c r="K388" s="1"/>
      <c r="L388" s="1">
        <f t="shared" si="18"/>
        <v>0</v>
      </c>
      <c r="M388" s="1"/>
      <c r="N388" s="1"/>
      <c r="O388" s="11">
        <f t="shared" si="17"/>
        <v>0</v>
      </c>
      <c r="P388" s="40"/>
      <c r="Q388" s="69"/>
      <c r="R388" s="1"/>
      <c r="S388" s="1"/>
      <c r="T388" s="1"/>
    </row>
    <row r="389" spans="1:20">
      <c r="A389" s="3"/>
      <c r="B389" s="1"/>
      <c r="C389" s="1"/>
      <c r="D389" s="1"/>
      <c r="E389" s="1"/>
      <c r="F389" s="1"/>
      <c r="G389" s="1"/>
      <c r="H389" s="1"/>
      <c r="I389" s="10">
        <f t="shared" si="16"/>
        <v>0</v>
      </c>
      <c r="J389" s="1"/>
      <c r="K389" s="1"/>
      <c r="L389" s="1">
        <f t="shared" si="18"/>
        <v>0</v>
      </c>
      <c r="M389" s="1"/>
      <c r="N389" s="1"/>
      <c r="O389" s="11">
        <f t="shared" si="17"/>
        <v>0</v>
      </c>
      <c r="P389" s="40"/>
      <c r="Q389" s="69"/>
      <c r="R389" s="1"/>
      <c r="S389" s="1"/>
      <c r="T389" s="1"/>
    </row>
    <row r="390" spans="1:20">
      <c r="A390" s="5"/>
      <c r="B390" s="6"/>
      <c r="C390" s="6"/>
      <c r="D390" s="6"/>
      <c r="E390" s="6"/>
      <c r="F390" s="6"/>
      <c r="G390" s="6"/>
      <c r="H390" s="6"/>
      <c r="I390" s="10">
        <f t="shared" ref="I390" si="19">H390*G390</f>
        <v>0</v>
      </c>
      <c r="J390" s="6"/>
      <c r="K390" s="6"/>
      <c r="L390" s="6">
        <f t="shared" si="18"/>
        <v>0</v>
      </c>
      <c r="M390" s="6"/>
      <c r="N390" s="6"/>
      <c r="O390" s="12">
        <f t="shared" ref="O390:O453" si="20">L390-M390-N390</f>
        <v>0</v>
      </c>
      <c r="P390" s="41"/>
      <c r="Q390" s="70"/>
      <c r="R390" s="6"/>
      <c r="S390" s="6"/>
      <c r="T390" s="6"/>
    </row>
    <row r="391" spans="1:20">
      <c r="L391">
        <f t="shared" si="18"/>
        <v>0</v>
      </c>
      <c r="O391">
        <f t="shared" si="20"/>
        <v>0</v>
      </c>
    </row>
    <row r="392" spans="1:20">
      <c r="L392">
        <f t="shared" ref="L392:L455" si="21">I392-J392-K392</f>
        <v>0</v>
      </c>
      <c r="O392">
        <f t="shared" si="20"/>
        <v>0</v>
      </c>
    </row>
    <row r="393" spans="1:20">
      <c r="L393">
        <f t="shared" si="21"/>
        <v>0</v>
      </c>
      <c r="O393">
        <f t="shared" si="20"/>
        <v>0</v>
      </c>
    </row>
    <row r="394" spans="1:20">
      <c r="L394">
        <f t="shared" si="21"/>
        <v>0</v>
      </c>
      <c r="O394">
        <f t="shared" si="20"/>
        <v>0</v>
      </c>
    </row>
    <row r="395" spans="1:20">
      <c r="L395">
        <f t="shared" si="21"/>
        <v>0</v>
      </c>
      <c r="O395">
        <f t="shared" si="20"/>
        <v>0</v>
      </c>
    </row>
    <row r="396" spans="1:20">
      <c r="L396">
        <f t="shared" si="21"/>
        <v>0</v>
      </c>
      <c r="O396">
        <f t="shared" si="20"/>
        <v>0</v>
      </c>
    </row>
    <row r="397" spans="1:20">
      <c r="L397">
        <f t="shared" si="21"/>
        <v>0</v>
      </c>
      <c r="O397">
        <f t="shared" si="20"/>
        <v>0</v>
      </c>
    </row>
    <row r="398" spans="1:20">
      <c r="L398">
        <f t="shared" si="21"/>
        <v>0</v>
      </c>
      <c r="O398">
        <f t="shared" si="20"/>
        <v>0</v>
      </c>
    </row>
    <row r="399" spans="1:20">
      <c r="L399">
        <f t="shared" si="21"/>
        <v>0</v>
      </c>
      <c r="O399">
        <f t="shared" si="20"/>
        <v>0</v>
      </c>
    </row>
    <row r="400" spans="1:20">
      <c r="L400">
        <f t="shared" si="21"/>
        <v>0</v>
      </c>
      <c r="O400">
        <f t="shared" si="20"/>
        <v>0</v>
      </c>
    </row>
    <row r="401" spans="12:15">
      <c r="L401">
        <f t="shared" si="21"/>
        <v>0</v>
      </c>
      <c r="O401">
        <f t="shared" si="20"/>
        <v>0</v>
      </c>
    </row>
    <row r="402" spans="12:15">
      <c r="L402">
        <f t="shared" si="21"/>
        <v>0</v>
      </c>
      <c r="O402">
        <f t="shared" si="20"/>
        <v>0</v>
      </c>
    </row>
    <row r="403" spans="12:15">
      <c r="L403">
        <f t="shared" si="21"/>
        <v>0</v>
      </c>
      <c r="O403">
        <f t="shared" si="20"/>
        <v>0</v>
      </c>
    </row>
    <row r="404" spans="12:15">
      <c r="L404">
        <f t="shared" si="21"/>
        <v>0</v>
      </c>
      <c r="O404">
        <f t="shared" si="20"/>
        <v>0</v>
      </c>
    </row>
    <row r="405" spans="12:15">
      <c r="L405">
        <f t="shared" si="21"/>
        <v>0</v>
      </c>
      <c r="O405">
        <f t="shared" si="20"/>
        <v>0</v>
      </c>
    </row>
    <row r="406" spans="12:15">
      <c r="L406">
        <f t="shared" si="21"/>
        <v>0</v>
      </c>
      <c r="O406">
        <f t="shared" si="20"/>
        <v>0</v>
      </c>
    </row>
    <row r="407" spans="12:15">
      <c r="L407">
        <f t="shared" si="21"/>
        <v>0</v>
      </c>
      <c r="O407">
        <f t="shared" si="20"/>
        <v>0</v>
      </c>
    </row>
    <row r="408" spans="12:15">
      <c r="L408">
        <f t="shared" si="21"/>
        <v>0</v>
      </c>
      <c r="O408">
        <f t="shared" si="20"/>
        <v>0</v>
      </c>
    </row>
    <row r="409" spans="12:15">
      <c r="L409">
        <f t="shared" si="21"/>
        <v>0</v>
      </c>
      <c r="O409">
        <f t="shared" si="20"/>
        <v>0</v>
      </c>
    </row>
    <row r="410" spans="12:15">
      <c r="L410">
        <f t="shared" si="21"/>
        <v>0</v>
      </c>
      <c r="O410">
        <f t="shared" si="20"/>
        <v>0</v>
      </c>
    </row>
    <row r="411" spans="12:15">
      <c r="L411">
        <f t="shared" si="21"/>
        <v>0</v>
      </c>
      <c r="O411">
        <f t="shared" si="20"/>
        <v>0</v>
      </c>
    </row>
    <row r="412" spans="12:15">
      <c r="L412">
        <f t="shared" si="21"/>
        <v>0</v>
      </c>
      <c r="O412">
        <f t="shared" si="20"/>
        <v>0</v>
      </c>
    </row>
    <row r="413" spans="12:15">
      <c r="L413">
        <f t="shared" si="21"/>
        <v>0</v>
      </c>
      <c r="O413">
        <f t="shared" si="20"/>
        <v>0</v>
      </c>
    </row>
    <row r="414" spans="12:15">
      <c r="L414">
        <f t="shared" si="21"/>
        <v>0</v>
      </c>
      <c r="O414">
        <f t="shared" si="20"/>
        <v>0</v>
      </c>
    </row>
    <row r="415" spans="12:15">
      <c r="L415">
        <f t="shared" si="21"/>
        <v>0</v>
      </c>
      <c r="O415">
        <f t="shared" si="20"/>
        <v>0</v>
      </c>
    </row>
    <row r="416" spans="12:15">
      <c r="L416">
        <f t="shared" si="21"/>
        <v>0</v>
      </c>
      <c r="O416">
        <f t="shared" si="20"/>
        <v>0</v>
      </c>
    </row>
    <row r="417" spans="12:15">
      <c r="L417">
        <f t="shared" si="21"/>
        <v>0</v>
      </c>
      <c r="O417">
        <f t="shared" si="20"/>
        <v>0</v>
      </c>
    </row>
    <row r="418" spans="12:15">
      <c r="L418">
        <f t="shared" si="21"/>
        <v>0</v>
      </c>
      <c r="O418">
        <f t="shared" si="20"/>
        <v>0</v>
      </c>
    </row>
    <row r="419" spans="12:15">
      <c r="L419">
        <f t="shared" si="21"/>
        <v>0</v>
      </c>
      <c r="O419">
        <f t="shared" si="20"/>
        <v>0</v>
      </c>
    </row>
    <row r="420" spans="12:15">
      <c r="L420">
        <f t="shared" si="21"/>
        <v>0</v>
      </c>
      <c r="O420">
        <f t="shared" si="20"/>
        <v>0</v>
      </c>
    </row>
    <row r="421" spans="12:15">
      <c r="L421">
        <f t="shared" si="21"/>
        <v>0</v>
      </c>
      <c r="O421">
        <f t="shared" si="20"/>
        <v>0</v>
      </c>
    </row>
    <row r="422" spans="12:15">
      <c r="L422">
        <f t="shared" si="21"/>
        <v>0</v>
      </c>
      <c r="O422">
        <f t="shared" si="20"/>
        <v>0</v>
      </c>
    </row>
    <row r="423" spans="12:15">
      <c r="L423">
        <f t="shared" si="21"/>
        <v>0</v>
      </c>
      <c r="O423">
        <f t="shared" si="20"/>
        <v>0</v>
      </c>
    </row>
    <row r="424" spans="12:15">
      <c r="L424">
        <f t="shared" si="21"/>
        <v>0</v>
      </c>
      <c r="O424">
        <f t="shared" si="20"/>
        <v>0</v>
      </c>
    </row>
    <row r="425" spans="12:15">
      <c r="L425">
        <f t="shared" si="21"/>
        <v>0</v>
      </c>
      <c r="O425">
        <f t="shared" si="20"/>
        <v>0</v>
      </c>
    </row>
    <row r="426" spans="12:15">
      <c r="L426">
        <f t="shared" si="21"/>
        <v>0</v>
      </c>
      <c r="O426">
        <f t="shared" si="20"/>
        <v>0</v>
      </c>
    </row>
    <row r="427" spans="12:15">
      <c r="L427">
        <f t="shared" si="21"/>
        <v>0</v>
      </c>
      <c r="O427">
        <f t="shared" si="20"/>
        <v>0</v>
      </c>
    </row>
    <row r="428" spans="12:15">
      <c r="L428">
        <f t="shared" si="21"/>
        <v>0</v>
      </c>
      <c r="O428">
        <f t="shared" si="20"/>
        <v>0</v>
      </c>
    </row>
    <row r="429" spans="12:15">
      <c r="L429">
        <f t="shared" si="21"/>
        <v>0</v>
      </c>
      <c r="O429">
        <f t="shared" si="20"/>
        <v>0</v>
      </c>
    </row>
    <row r="430" spans="12:15">
      <c r="L430">
        <f t="shared" si="21"/>
        <v>0</v>
      </c>
      <c r="O430">
        <f t="shared" si="20"/>
        <v>0</v>
      </c>
    </row>
    <row r="431" spans="12:15">
      <c r="L431">
        <f t="shared" si="21"/>
        <v>0</v>
      </c>
      <c r="O431">
        <f t="shared" si="20"/>
        <v>0</v>
      </c>
    </row>
    <row r="432" spans="12:15">
      <c r="L432">
        <f t="shared" si="21"/>
        <v>0</v>
      </c>
      <c r="O432">
        <f t="shared" si="20"/>
        <v>0</v>
      </c>
    </row>
    <row r="433" spans="12:15">
      <c r="L433">
        <f t="shared" si="21"/>
        <v>0</v>
      </c>
      <c r="O433">
        <f t="shared" si="20"/>
        <v>0</v>
      </c>
    </row>
    <row r="434" spans="12:15">
      <c r="L434">
        <f t="shared" si="21"/>
        <v>0</v>
      </c>
      <c r="O434">
        <f t="shared" si="20"/>
        <v>0</v>
      </c>
    </row>
    <row r="435" spans="12:15">
      <c r="L435">
        <f t="shared" si="21"/>
        <v>0</v>
      </c>
      <c r="O435">
        <f t="shared" si="20"/>
        <v>0</v>
      </c>
    </row>
    <row r="436" spans="12:15">
      <c r="L436">
        <f t="shared" si="21"/>
        <v>0</v>
      </c>
      <c r="O436">
        <f t="shared" si="20"/>
        <v>0</v>
      </c>
    </row>
    <row r="437" spans="12:15">
      <c r="L437">
        <f t="shared" si="21"/>
        <v>0</v>
      </c>
      <c r="O437">
        <f t="shared" si="20"/>
        <v>0</v>
      </c>
    </row>
    <row r="438" spans="12:15">
      <c r="L438">
        <f t="shared" si="21"/>
        <v>0</v>
      </c>
      <c r="O438">
        <f t="shared" si="20"/>
        <v>0</v>
      </c>
    </row>
    <row r="439" spans="12:15">
      <c r="L439">
        <f t="shared" si="21"/>
        <v>0</v>
      </c>
      <c r="O439">
        <f t="shared" si="20"/>
        <v>0</v>
      </c>
    </row>
    <row r="440" spans="12:15">
      <c r="L440">
        <f t="shared" si="21"/>
        <v>0</v>
      </c>
      <c r="O440">
        <f t="shared" si="20"/>
        <v>0</v>
      </c>
    </row>
    <row r="441" spans="12:15">
      <c r="L441">
        <f t="shared" si="21"/>
        <v>0</v>
      </c>
      <c r="O441">
        <f t="shared" si="20"/>
        <v>0</v>
      </c>
    </row>
    <row r="442" spans="12:15">
      <c r="L442">
        <f t="shared" si="21"/>
        <v>0</v>
      </c>
      <c r="O442">
        <f t="shared" si="20"/>
        <v>0</v>
      </c>
    </row>
    <row r="443" spans="12:15">
      <c r="L443">
        <f t="shared" si="21"/>
        <v>0</v>
      </c>
      <c r="O443">
        <f t="shared" si="20"/>
        <v>0</v>
      </c>
    </row>
    <row r="444" spans="12:15">
      <c r="L444">
        <f t="shared" si="21"/>
        <v>0</v>
      </c>
      <c r="O444">
        <f t="shared" si="20"/>
        <v>0</v>
      </c>
    </row>
    <row r="445" spans="12:15">
      <c r="L445">
        <f t="shared" si="21"/>
        <v>0</v>
      </c>
      <c r="O445">
        <f t="shared" si="20"/>
        <v>0</v>
      </c>
    </row>
    <row r="446" spans="12:15">
      <c r="L446">
        <f t="shared" si="21"/>
        <v>0</v>
      </c>
      <c r="O446">
        <f t="shared" si="20"/>
        <v>0</v>
      </c>
    </row>
    <row r="447" spans="12:15">
      <c r="L447">
        <f t="shared" si="21"/>
        <v>0</v>
      </c>
      <c r="O447">
        <f t="shared" si="20"/>
        <v>0</v>
      </c>
    </row>
    <row r="448" spans="12:15">
      <c r="L448">
        <f t="shared" si="21"/>
        <v>0</v>
      </c>
      <c r="O448">
        <f t="shared" si="20"/>
        <v>0</v>
      </c>
    </row>
    <row r="449" spans="12:15">
      <c r="L449">
        <f t="shared" si="21"/>
        <v>0</v>
      </c>
      <c r="O449">
        <f t="shared" si="20"/>
        <v>0</v>
      </c>
    </row>
    <row r="450" spans="12:15">
      <c r="L450">
        <f t="shared" si="21"/>
        <v>0</v>
      </c>
      <c r="O450">
        <f t="shared" si="20"/>
        <v>0</v>
      </c>
    </row>
    <row r="451" spans="12:15">
      <c r="L451">
        <f t="shared" si="21"/>
        <v>0</v>
      </c>
      <c r="O451">
        <f t="shared" si="20"/>
        <v>0</v>
      </c>
    </row>
    <row r="452" spans="12:15">
      <c r="L452">
        <f t="shared" si="21"/>
        <v>0</v>
      </c>
      <c r="O452">
        <f t="shared" si="20"/>
        <v>0</v>
      </c>
    </row>
    <row r="453" spans="12:15">
      <c r="L453">
        <f t="shared" si="21"/>
        <v>0</v>
      </c>
      <c r="O453">
        <f t="shared" si="20"/>
        <v>0</v>
      </c>
    </row>
    <row r="454" spans="12:15">
      <c r="L454">
        <f t="shared" si="21"/>
        <v>0</v>
      </c>
      <c r="O454">
        <f t="shared" ref="O454:O517" si="22">L454-M454-N454</f>
        <v>0</v>
      </c>
    </row>
    <row r="455" spans="12:15">
      <c r="L455">
        <f t="shared" si="21"/>
        <v>0</v>
      </c>
      <c r="O455">
        <f t="shared" si="22"/>
        <v>0</v>
      </c>
    </row>
    <row r="456" spans="12:15">
      <c r="L456">
        <f t="shared" ref="L456:L519" si="23">I456-J456-K456</f>
        <v>0</v>
      </c>
      <c r="O456">
        <f t="shared" si="22"/>
        <v>0</v>
      </c>
    </row>
    <row r="457" spans="12:15">
      <c r="L457">
        <f t="shared" si="23"/>
        <v>0</v>
      </c>
      <c r="O457">
        <f t="shared" si="22"/>
        <v>0</v>
      </c>
    </row>
    <row r="458" spans="12:15">
      <c r="L458">
        <f t="shared" si="23"/>
        <v>0</v>
      </c>
      <c r="O458">
        <f t="shared" si="22"/>
        <v>0</v>
      </c>
    </row>
    <row r="459" spans="12:15">
      <c r="L459">
        <f t="shared" si="23"/>
        <v>0</v>
      </c>
      <c r="O459">
        <f t="shared" si="22"/>
        <v>0</v>
      </c>
    </row>
    <row r="460" spans="12:15">
      <c r="L460">
        <f t="shared" si="23"/>
        <v>0</v>
      </c>
      <c r="O460">
        <f t="shared" si="22"/>
        <v>0</v>
      </c>
    </row>
    <row r="461" spans="12:15">
      <c r="L461">
        <f t="shared" si="23"/>
        <v>0</v>
      </c>
      <c r="O461">
        <f t="shared" si="22"/>
        <v>0</v>
      </c>
    </row>
    <row r="462" spans="12:15">
      <c r="L462">
        <f t="shared" si="23"/>
        <v>0</v>
      </c>
      <c r="O462">
        <f t="shared" si="22"/>
        <v>0</v>
      </c>
    </row>
    <row r="463" spans="12:15">
      <c r="L463">
        <f t="shared" si="23"/>
        <v>0</v>
      </c>
      <c r="O463">
        <f t="shared" si="22"/>
        <v>0</v>
      </c>
    </row>
    <row r="464" spans="12:15">
      <c r="L464">
        <f t="shared" si="23"/>
        <v>0</v>
      </c>
      <c r="O464">
        <f t="shared" si="22"/>
        <v>0</v>
      </c>
    </row>
    <row r="465" spans="12:15">
      <c r="L465">
        <f t="shared" si="23"/>
        <v>0</v>
      </c>
      <c r="O465">
        <f t="shared" si="22"/>
        <v>0</v>
      </c>
    </row>
    <row r="466" spans="12:15">
      <c r="L466">
        <f t="shared" si="23"/>
        <v>0</v>
      </c>
      <c r="O466">
        <f t="shared" si="22"/>
        <v>0</v>
      </c>
    </row>
    <row r="467" spans="12:15">
      <c r="L467">
        <f t="shared" si="23"/>
        <v>0</v>
      </c>
      <c r="O467">
        <f t="shared" si="22"/>
        <v>0</v>
      </c>
    </row>
    <row r="468" spans="12:15">
      <c r="L468">
        <f t="shared" si="23"/>
        <v>0</v>
      </c>
      <c r="O468">
        <f t="shared" si="22"/>
        <v>0</v>
      </c>
    </row>
    <row r="469" spans="12:15">
      <c r="L469">
        <f t="shared" si="23"/>
        <v>0</v>
      </c>
      <c r="O469">
        <f t="shared" si="22"/>
        <v>0</v>
      </c>
    </row>
    <row r="470" spans="12:15">
      <c r="L470">
        <f t="shared" si="23"/>
        <v>0</v>
      </c>
      <c r="O470">
        <f t="shared" si="22"/>
        <v>0</v>
      </c>
    </row>
    <row r="471" spans="12:15">
      <c r="L471">
        <f t="shared" si="23"/>
        <v>0</v>
      </c>
      <c r="O471">
        <f t="shared" si="22"/>
        <v>0</v>
      </c>
    </row>
    <row r="472" spans="12:15">
      <c r="L472">
        <f t="shared" si="23"/>
        <v>0</v>
      </c>
      <c r="O472">
        <f t="shared" si="22"/>
        <v>0</v>
      </c>
    </row>
    <row r="473" spans="12:15">
      <c r="L473">
        <f t="shared" si="23"/>
        <v>0</v>
      </c>
      <c r="O473">
        <f t="shared" si="22"/>
        <v>0</v>
      </c>
    </row>
    <row r="474" spans="12:15">
      <c r="L474">
        <f t="shared" si="23"/>
        <v>0</v>
      </c>
      <c r="O474">
        <f t="shared" si="22"/>
        <v>0</v>
      </c>
    </row>
    <row r="475" spans="12:15">
      <c r="L475">
        <f t="shared" si="23"/>
        <v>0</v>
      </c>
      <c r="O475">
        <f t="shared" si="22"/>
        <v>0</v>
      </c>
    </row>
    <row r="476" spans="12:15">
      <c r="L476">
        <f t="shared" si="23"/>
        <v>0</v>
      </c>
      <c r="O476">
        <f t="shared" si="22"/>
        <v>0</v>
      </c>
    </row>
    <row r="477" spans="12:15">
      <c r="L477">
        <f t="shared" si="23"/>
        <v>0</v>
      </c>
      <c r="O477">
        <f t="shared" si="22"/>
        <v>0</v>
      </c>
    </row>
    <row r="478" spans="12:15">
      <c r="L478">
        <f t="shared" si="23"/>
        <v>0</v>
      </c>
      <c r="O478">
        <f t="shared" si="22"/>
        <v>0</v>
      </c>
    </row>
    <row r="479" spans="12:15">
      <c r="L479">
        <f t="shared" si="23"/>
        <v>0</v>
      </c>
      <c r="O479">
        <f t="shared" si="22"/>
        <v>0</v>
      </c>
    </row>
    <row r="480" spans="12:15">
      <c r="L480">
        <f t="shared" si="23"/>
        <v>0</v>
      </c>
      <c r="O480">
        <f t="shared" si="22"/>
        <v>0</v>
      </c>
    </row>
    <row r="481" spans="12:15">
      <c r="L481">
        <f t="shared" si="23"/>
        <v>0</v>
      </c>
      <c r="O481">
        <f t="shared" si="22"/>
        <v>0</v>
      </c>
    </row>
    <row r="482" spans="12:15">
      <c r="L482">
        <f t="shared" si="23"/>
        <v>0</v>
      </c>
      <c r="O482">
        <f t="shared" si="22"/>
        <v>0</v>
      </c>
    </row>
    <row r="483" spans="12:15">
      <c r="L483">
        <f t="shared" si="23"/>
        <v>0</v>
      </c>
      <c r="O483">
        <f t="shared" si="22"/>
        <v>0</v>
      </c>
    </row>
    <row r="484" spans="12:15">
      <c r="L484">
        <f t="shared" si="23"/>
        <v>0</v>
      </c>
      <c r="O484">
        <f t="shared" si="22"/>
        <v>0</v>
      </c>
    </row>
    <row r="485" spans="12:15">
      <c r="L485">
        <f t="shared" si="23"/>
        <v>0</v>
      </c>
      <c r="O485">
        <f t="shared" si="22"/>
        <v>0</v>
      </c>
    </row>
    <row r="486" spans="12:15">
      <c r="L486">
        <f t="shared" si="23"/>
        <v>0</v>
      </c>
      <c r="O486">
        <f t="shared" si="22"/>
        <v>0</v>
      </c>
    </row>
    <row r="487" spans="12:15">
      <c r="L487">
        <f t="shared" si="23"/>
        <v>0</v>
      </c>
      <c r="O487">
        <f t="shared" si="22"/>
        <v>0</v>
      </c>
    </row>
    <row r="488" spans="12:15">
      <c r="L488">
        <f t="shared" si="23"/>
        <v>0</v>
      </c>
      <c r="O488">
        <f t="shared" si="22"/>
        <v>0</v>
      </c>
    </row>
    <row r="489" spans="12:15">
      <c r="L489">
        <f t="shared" si="23"/>
        <v>0</v>
      </c>
      <c r="O489">
        <f t="shared" si="22"/>
        <v>0</v>
      </c>
    </row>
    <row r="490" spans="12:15">
      <c r="L490">
        <f t="shared" si="23"/>
        <v>0</v>
      </c>
      <c r="O490">
        <f t="shared" si="22"/>
        <v>0</v>
      </c>
    </row>
    <row r="491" spans="12:15">
      <c r="L491">
        <f t="shared" si="23"/>
        <v>0</v>
      </c>
      <c r="O491">
        <f t="shared" si="22"/>
        <v>0</v>
      </c>
    </row>
    <row r="492" spans="12:15">
      <c r="L492">
        <f t="shared" si="23"/>
        <v>0</v>
      </c>
      <c r="O492">
        <f t="shared" si="22"/>
        <v>0</v>
      </c>
    </row>
    <row r="493" spans="12:15">
      <c r="L493">
        <f t="shared" si="23"/>
        <v>0</v>
      </c>
      <c r="O493">
        <f t="shared" si="22"/>
        <v>0</v>
      </c>
    </row>
    <row r="494" spans="12:15">
      <c r="L494">
        <f t="shared" si="23"/>
        <v>0</v>
      </c>
      <c r="O494">
        <f t="shared" si="22"/>
        <v>0</v>
      </c>
    </row>
    <row r="495" spans="12:15">
      <c r="L495">
        <f t="shared" si="23"/>
        <v>0</v>
      </c>
      <c r="O495">
        <f t="shared" si="22"/>
        <v>0</v>
      </c>
    </row>
    <row r="496" spans="12:15">
      <c r="L496">
        <f t="shared" si="23"/>
        <v>0</v>
      </c>
      <c r="O496">
        <f t="shared" si="22"/>
        <v>0</v>
      </c>
    </row>
    <row r="497" spans="12:15">
      <c r="L497">
        <f t="shared" si="23"/>
        <v>0</v>
      </c>
      <c r="O497">
        <f t="shared" si="22"/>
        <v>0</v>
      </c>
    </row>
    <row r="498" spans="12:15">
      <c r="L498">
        <f t="shared" si="23"/>
        <v>0</v>
      </c>
      <c r="O498">
        <f t="shared" si="22"/>
        <v>0</v>
      </c>
    </row>
    <row r="499" spans="12:15">
      <c r="L499">
        <f t="shared" si="23"/>
        <v>0</v>
      </c>
      <c r="O499">
        <f t="shared" si="22"/>
        <v>0</v>
      </c>
    </row>
    <row r="500" spans="12:15">
      <c r="L500">
        <f t="shared" si="23"/>
        <v>0</v>
      </c>
      <c r="O500">
        <f t="shared" si="22"/>
        <v>0</v>
      </c>
    </row>
    <row r="501" spans="12:15">
      <c r="L501">
        <f t="shared" si="23"/>
        <v>0</v>
      </c>
      <c r="O501">
        <f t="shared" si="22"/>
        <v>0</v>
      </c>
    </row>
    <row r="502" spans="12:15">
      <c r="L502">
        <f t="shared" si="23"/>
        <v>0</v>
      </c>
      <c r="O502">
        <f t="shared" si="22"/>
        <v>0</v>
      </c>
    </row>
    <row r="503" spans="12:15">
      <c r="L503">
        <f t="shared" si="23"/>
        <v>0</v>
      </c>
      <c r="O503">
        <f t="shared" si="22"/>
        <v>0</v>
      </c>
    </row>
    <row r="504" spans="12:15">
      <c r="L504">
        <f t="shared" si="23"/>
        <v>0</v>
      </c>
      <c r="O504">
        <f t="shared" si="22"/>
        <v>0</v>
      </c>
    </row>
    <row r="505" spans="12:15">
      <c r="L505">
        <f t="shared" si="23"/>
        <v>0</v>
      </c>
      <c r="O505">
        <f t="shared" si="22"/>
        <v>0</v>
      </c>
    </row>
    <row r="506" spans="12:15">
      <c r="L506">
        <f t="shared" si="23"/>
        <v>0</v>
      </c>
      <c r="O506">
        <f t="shared" si="22"/>
        <v>0</v>
      </c>
    </row>
    <row r="507" spans="12:15">
      <c r="L507">
        <f t="shared" si="23"/>
        <v>0</v>
      </c>
      <c r="O507">
        <f t="shared" si="22"/>
        <v>0</v>
      </c>
    </row>
    <row r="508" spans="12:15">
      <c r="L508">
        <f t="shared" si="23"/>
        <v>0</v>
      </c>
      <c r="O508">
        <f t="shared" si="22"/>
        <v>0</v>
      </c>
    </row>
    <row r="509" spans="12:15">
      <c r="L509">
        <f t="shared" si="23"/>
        <v>0</v>
      </c>
      <c r="O509">
        <f t="shared" si="22"/>
        <v>0</v>
      </c>
    </row>
    <row r="510" spans="12:15">
      <c r="L510">
        <f t="shared" si="23"/>
        <v>0</v>
      </c>
      <c r="O510">
        <f t="shared" si="22"/>
        <v>0</v>
      </c>
    </row>
    <row r="511" spans="12:15">
      <c r="L511">
        <f t="shared" si="23"/>
        <v>0</v>
      </c>
      <c r="O511">
        <f t="shared" si="22"/>
        <v>0</v>
      </c>
    </row>
    <row r="512" spans="12:15">
      <c r="L512">
        <f t="shared" si="23"/>
        <v>0</v>
      </c>
      <c r="O512">
        <f t="shared" si="22"/>
        <v>0</v>
      </c>
    </row>
    <row r="513" spans="12:15">
      <c r="L513">
        <f t="shared" si="23"/>
        <v>0</v>
      </c>
      <c r="O513">
        <f t="shared" si="22"/>
        <v>0</v>
      </c>
    </row>
    <row r="514" spans="12:15">
      <c r="L514">
        <f t="shared" si="23"/>
        <v>0</v>
      </c>
      <c r="O514">
        <f t="shared" si="22"/>
        <v>0</v>
      </c>
    </row>
    <row r="515" spans="12:15">
      <c r="L515">
        <f t="shared" si="23"/>
        <v>0</v>
      </c>
      <c r="O515">
        <f t="shared" si="22"/>
        <v>0</v>
      </c>
    </row>
    <row r="516" spans="12:15">
      <c r="L516">
        <f t="shared" si="23"/>
        <v>0</v>
      </c>
      <c r="O516">
        <f t="shared" si="22"/>
        <v>0</v>
      </c>
    </row>
    <row r="517" spans="12:15">
      <c r="L517">
        <f t="shared" si="23"/>
        <v>0</v>
      </c>
      <c r="O517">
        <f t="shared" si="22"/>
        <v>0</v>
      </c>
    </row>
    <row r="518" spans="12:15">
      <c r="L518">
        <f t="shared" si="23"/>
        <v>0</v>
      </c>
      <c r="O518">
        <f t="shared" ref="O518:O581" si="24">L518-M518-N518</f>
        <v>0</v>
      </c>
    </row>
    <row r="519" spans="12:15">
      <c r="L519">
        <f t="shared" si="23"/>
        <v>0</v>
      </c>
      <c r="O519">
        <f t="shared" si="24"/>
        <v>0</v>
      </c>
    </row>
    <row r="520" spans="12:15">
      <c r="L520">
        <f t="shared" ref="L520:L583" si="25">I520-J520-K520</f>
        <v>0</v>
      </c>
      <c r="O520">
        <f t="shared" si="24"/>
        <v>0</v>
      </c>
    </row>
    <row r="521" spans="12:15">
      <c r="L521">
        <f t="shared" si="25"/>
        <v>0</v>
      </c>
      <c r="O521">
        <f t="shared" si="24"/>
        <v>0</v>
      </c>
    </row>
    <row r="522" spans="12:15">
      <c r="L522">
        <f t="shared" si="25"/>
        <v>0</v>
      </c>
      <c r="O522">
        <f t="shared" si="24"/>
        <v>0</v>
      </c>
    </row>
    <row r="523" spans="12:15">
      <c r="L523">
        <f t="shared" si="25"/>
        <v>0</v>
      </c>
      <c r="O523">
        <f t="shared" si="24"/>
        <v>0</v>
      </c>
    </row>
    <row r="524" spans="12:15">
      <c r="L524">
        <f t="shared" si="25"/>
        <v>0</v>
      </c>
      <c r="O524">
        <f t="shared" si="24"/>
        <v>0</v>
      </c>
    </row>
    <row r="525" spans="12:15">
      <c r="L525">
        <f t="shared" si="25"/>
        <v>0</v>
      </c>
      <c r="O525">
        <f t="shared" si="24"/>
        <v>0</v>
      </c>
    </row>
    <row r="526" spans="12:15">
      <c r="L526">
        <f t="shared" si="25"/>
        <v>0</v>
      </c>
      <c r="O526">
        <f t="shared" si="24"/>
        <v>0</v>
      </c>
    </row>
    <row r="527" spans="12:15">
      <c r="L527">
        <f t="shared" si="25"/>
        <v>0</v>
      </c>
      <c r="O527">
        <f t="shared" si="24"/>
        <v>0</v>
      </c>
    </row>
    <row r="528" spans="12:15">
      <c r="L528">
        <f t="shared" si="25"/>
        <v>0</v>
      </c>
      <c r="O528">
        <f t="shared" si="24"/>
        <v>0</v>
      </c>
    </row>
    <row r="529" spans="12:15">
      <c r="L529">
        <f t="shared" si="25"/>
        <v>0</v>
      </c>
      <c r="O529">
        <f t="shared" si="24"/>
        <v>0</v>
      </c>
    </row>
    <row r="530" spans="12:15">
      <c r="L530">
        <f t="shared" si="25"/>
        <v>0</v>
      </c>
      <c r="O530">
        <f t="shared" si="24"/>
        <v>0</v>
      </c>
    </row>
    <row r="531" spans="12:15">
      <c r="L531">
        <f t="shared" si="25"/>
        <v>0</v>
      </c>
      <c r="O531">
        <f t="shared" si="24"/>
        <v>0</v>
      </c>
    </row>
    <row r="532" spans="12:15">
      <c r="L532">
        <f t="shared" si="25"/>
        <v>0</v>
      </c>
      <c r="O532">
        <f t="shared" si="24"/>
        <v>0</v>
      </c>
    </row>
    <row r="533" spans="12:15">
      <c r="L533">
        <f t="shared" si="25"/>
        <v>0</v>
      </c>
      <c r="O533">
        <f t="shared" si="24"/>
        <v>0</v>
      </c>
    </row>
    <row r="534" spans="12:15">
      <c r="L534">
        <f t="shared" si="25"/>
        <v>0</v>
      </c>
      <c r="O534">
        <f t="shared" si="24"/>
        <v>0</v>
      </c>
    </row>
    <row r="535" spans="12:15">
      <c r="L535">
        <f t="shared" si="25"/>
        <v>0</v>
      </c>
      <c r="O535">
        <f t="shared" si="24"/>
        <v>0</v>
      </c>
    </row>
    <row r="536" spans="12:15">
      <c r="L536">
        <f t="shared" si="25"/>
        <v>0</v>
      </c>
      <c r="O536">
        <f t="shared" si="24"/>
        <v>0</v>
      </c>
    </row>
    <row r="537" spans="12:15">
      <c r="L537">
        <f t="shared" si="25"/>
        <v>0</v>
      </c>
      <c r="O537">
        <f t="shared" si="24"/>
        <v>0</v>
      </c>
    </row>
    <row r="538" spans="12:15">
      <c r="L538">
        <f t="shared" si="25"/>
        <v>0</v>
      </c>
      <c r="O538">
        <f t="shared" si="24"/>
        <v>0</v>
      </c>
    </row>
    <row r="539" spans="12:15">
      <c r="L539">
        <f t="shared" si="25"/>
        <v>0</v>
      </c>
      <c r="O539">
        <f t="shared" si="24"/>
        <v>0</v>
      </c>
    </row>
    <row r="540" spans="12:15">
      <c r="L540">
        <f t="shared" si="25"/>
        <v>0</v>
      </c>
      <c r="O540">
        <f t="shared" si="24"/>
        <v>0</v>
      </c>
    </row>
    <row r="541" spans="12:15">
      <c r="L541">
        <f t="shared" si="25"/>
        <v>0</v>
      </c>
      <c r="O541">
        <f t="shared" si="24"/>
        <v>0</v>
      </c>
    </row>
    <row r="542" spans="12:15">
      <c r="L542">
        <f t="shared" si="25"/>
        <v>0</v>
      </c>
      <c r="O542">
        <f t="shared" si="24"/>
        <v>0</v>
      </c>
    </row>
    <row r="543" spans="12:15">
      <c r="L543">
        <f t="shared" si="25"/>
        <v>0</v>
      </c>
      <c r="O543">
        <f t="shared" si="24"/>
        <v>0</v>
      </c>
    </row>
    <row r="544" spans="12:15">
      <c r="L544">
        <f t="shared" si="25"/>
        <v>0</v>
      </c>
      <c r="O544">
        <f t="shared" si="24"/>
        <v>0</v>
      </c>
    </row>
    <row r="545" spans="12:15">
      <c r="L545">
        <f t="shared" si="25"/>
        <v>0</v>
      </c>
      <c r="O545">
        <f t="shared" si="24"/>
        <v>0</v>
      </c>
    </row>
    <row r="546" spans="12:15">
      <c r="L546">
        <f t="shared" si="25"/>
        <v>0</v>
      </c>
      <c r="O546">
        <f t="shared" si="24"/>
        <v>0</v>
      </c>
    </row>
    <row r="547" spans="12:15">
      <c r="L547">
        <f t="shared" si="25"/>
        <v>0</v>
      </c>
      <c r="O547">
        <f t="shared" si="24"/>
        <v>0</v>
      </c>
    </row>
    <row r="548" spans="12:15">
      <c r="L548">
        <f t="shared" si="25"/>
        <v>0</v>
      </c>
      <c r="O548">
        <f t="shared" si="24"/>
        <v>0</v>
      </c>
    </row>
    <row r="549" spans="12:15">
      <c r="L549">
        <f t="shared" si="25"/>
        <v>0</v>
      </c>
      <c r="O549">
        <f t="shared" si="24"/>
        <v>0</v>
      </c>
    </row>
    <row r="550" spans="12:15">
      <c r="L550">
        <f t="shared" si="25"/>
        <v>0</v>
      </c>
      <c r="O550">
        <f t="shared" si="24"/>
        <v>0</v>
      </c>
    </row>
    <row r="551" spans="12:15">
      <c r="L551">
        <f t="shared" si="25"/>
        <v>0</v>
      </c>
      <c r="O551">
        <f t="shared" si="24"/>
        <v>0</v>
      </c>
    </row>
    <row r="552" spans="12:15">
      <c r="L552">
        <f t="shared" si="25"/>
        <v>0</v>
      </c>
      <c r="O552">
        <f t="shared" si="24"/>
        <v>0</v>
      </c>
    </row>
    <row r="553" spans="12:15">
      <c r="L553">
        <f t="shared" si="25"/>
        <v>0</v>
      </c>
      <c r="O553">
        <f t="shared" si="24"/>
        <v>0</v>
      </c>
    </row>
    <row r="554" spans="12:15">
      <c r="L554">
        <f t="shared" si="25"/>
        <v>0</v>
      </c>
      <c r="O554">
        <f t="shared" si="24"/>
        <v>0</v>
      </c>
    </row>
    <row r="555" spans="12:15">
      <c r="L555">
        <f t="shared" si="25"/>
        <v>0</v>
      </c>
      <c r="O555">
        <f t="shared" si="24"/>
        <v>0</v>
      </c>
    </row>
    <row r="556" spans="12:15">
      <c r="L556">
        <f t="shared" si="25"/>
        <v>0</v>
      </c>
      <c r="O556">
        <f t="shared" si="24"/>
        <v>0</v>
      </c>
    </row>
    <row r="557" spans="12:15">
      <c r="L557">
        <f t="shared" si="25"/>
        <v>0</v>
      </c>
      <c r="O557">
        <f t="shared" si="24"/>
        <v>0</v>
      </c>
    </row>
    <row r="558" spans="12:15">
      <c r="L558">
        <f t="shared" si="25"/>
        <v>0</v>
      </c>
      <c r="O558">
        <f t="shared" si="24"/>
        <v>0</v>
      </c>
    </row>
    <row r="559" spans="12:15">
      <c r="L559">
        <f t="shared" si="25"/>
        <v>0</v>
      </c>
      <c r="O559">
        <f t="shared" si="24"/>
        <v>0</v>
      </c>
    </row>
    <row r="560" spans="12:15">
      <c r="L560">
        <f t="shared" si="25"/>
        <v>0</v>
      </c>
      <c r="O560">
        <f t="shared" si="24"/>
        <v>0</v>
      </c>
    </row>
    <row r="561" spans="12:15">
      <c r="L561">
        <f t="shared" si="25"/>
        <v>0</v>
      </c>
      <c r="O561">
        <f t="shared" si="24"/>
        <v>0</v>
      </c>
    </row>
    <row r="562" spans="12:15">
      <c r="L562">
        <f t="shared" si="25"/>
        <v>0</v>
      </c>
      <c r="O562">
        <f t="shared" si="24"/>
        <v>0</v>
      </c>
    </row>
    <row r="563" spans="12:15">
      <c r="L563">
        <f t="shared" si="25"/>
        <v>0</v>
      </c>
      <c r="O563">
        <f t="shared" si="24"/>
        <v>0</v>
      </c>
    </row>
    <row r="564" spans="12:15">
      <c r="L564">
        <f t="shared" si="25"/>
        <v>0</v>
      </c>
      <c r="O564">
        <f t="shared" si="24"/>
        <v>0</v>
      </c>
    </row>
    <row r="565" spans="12:15">
      <c r="L565">
        <f t="shared" si="25"/>
        <v>0</v>
      </c>
      <c r="O565">
        <f t="shared" si="24"/>
        <v>0</v>
      </c>
    </row>
    <row r="566" spans="12:15">
      <c r="L566">
        <f t="shared" si="25"/>
        <v>0</v>
      </c>
      <c r="O566">
        <f t="shared" si="24"/>
        <v>0</v>
      </c>
    </row>
    <row r="567" spans="12:15">
      <c r="L567">
        <f t="shared" si="25"/>
        <v>0</v>
      </c>
      <c r="O567">
        <f t="shared" si="24"/>
        <v>0</v>
      </c>
    </row>
    <row r="568" spans="12:15">
      <c r="L568">
        <f t="shared" si="25"/>
        <v>0</v>
      </c>
      <c r="O568">
        <f t="shared" si="24"/>
        <v>0</v>
      </c>
    </row>
    <row r="569" spans="12:15">
      <c r="L569">
        <f t="shared" si="25"/>
        <v>0</v>
      </c>
      <c r="O569">
        <f t="shared" si="24"/>
        <v>0</v>
      </c>
    </row>
    <row r="570" spans="12:15">
      <c r="L570">
        <f t="shared" si="25"/>
        <v>0</v>
      </c>
      <c r="O570">
        <f t="shared" si="24"/>
        <v>0</v>
      </c>
    </row>
    <row r="571" spans="12:15">
      <c r="L571">
        <f t="shared" si="25"/>
        <v>0</v>
      </c>
      <c r="O571">
        <f t="shared" si="24"/>
        <v>0</v>
      </c>
    </row>
    <row r="572" spans="12:15">
      <c r="L572">
        <f t="shared" si="25"/>
        <v>0</v>
      </c>
      <c r="O572">
        <f t="shared" si="24"/>
        <v>0</v>
      </c>
    </row>
    <row r="573" spans="12:15">
      <c r="L573">
        <f t="shared" si="25"/>
        <v>0</v>
      </c>
      <c r="O573">
        <f t="shared" si="24"/>
        <v>0</v>
      </c>
    </row>
    <row r="574" spans="12:15">
      <c r="L574">
        <f t="shared" si="25"/>
        <v>0</v>
      </c>
      <c r="O574">
        <f t="shared" si="24"/>
        <v>0</v>
      </c>
    </row>
    <row r="575" spans="12:15">
      <c r="L575">
        <f t="shared" si="25"/>
        <v>0</v>
      </c>
      <c r="O575">
        <f t="shared" si="24"/>
        <v>0</v>
      </c>
    </row>
    <row r="576" spans="12:15">
      <c r="L576">
        <f t="shared" si="25"/>
        <v>0</v>
      </c>
      <c r="O576">
        <f t="shared" si="24"/>
        <v>0</v>
      </c>
    </row>
    <row r="577" spans="12:15">
      <c r="L577">
        <f t="shared" si="25"/>
        <v>0</v>
      </c>
      <c r="O577">
        <f t="shared" si="24"/>
        <v>0</v>
      </c>
    </row>
    <row r="578" spans="12:15">
      <c r="L578">
        <f t="shared" si="25"/>
        <v>0</v>
      </c>
      <c r="O578">
        <f t="shared" si="24"/>
        <v>0</v>
      </c>
    </row>
    <row r="579" spans="12:15">
      <c r="L579">
        <f t="shared" si="25"/>
        <v>0</v>
      </c>
      <c r="O579">
        <f t="shared" si="24"/>
        <v>0</v>
      </c>
    </row>
    <row r="580" spans="12:15">
      <c r="L580">
        <f t="shared" si="25"/>
        <v>0</v>
      </c>
      <c r="O580">
        <f t="shared" si="24"/>
        <v>0</v>
      </c>
    </row>
    <row r="581" spans="12:15">
      <c r="L581">
        <f t="shared" si="25"/>
        <v>0</v>
      </c>
      <c r="O581">
        <f t="shared" si="24"/>
        <v>0</v>
      </c>
    </row>
    <row r="582" spans="12:15">
      <c r="L582">
        <f t="shared" si="25"/>
        <v>0</v>
      </c>
      <c r="O582">
        <f t="shared" ref="O582:O645" si="26">L582-M582-N582</f>
        <v>0</v>
      </c>
    </row>
    <row r="583" spans="12:15">
      <c r="L583">
        <f t="shared" si="25"/>
        <v>0</v>
      </c>
      <c r="O583">
        <f t="shared" si="26"/>
        <v>0</v>
      </c>
    </row>
    <row r="584" spans="12:15">
      <c r="L584">
        <f t="shared" ref="L584:L647" si="27">I584-J584-K584</f>
        <v>0</v>
      </c>
      <c r="O584">
        <f t="shared" si="26"/>
        <v>0</v>
      </c>
    </row>
    <row r="585" spans="12:15">
      <c r="L585">
        <f t="shared" si="27"/>
        <v>0</v>
      </c>
      <c r="O585">
        <f t="shared" si="26"/>
        <v>0</v>
      </c>
    </row>
    <row r="586" spans="12:15">
      <c r="L586">
        <f t="shared" si="27"/>
        <v>0</v>
      </c>
      <c r="O586">
        <f t="shared" si="26"/>
        <v>0</v>
      </c>
    </row>
    <row r="587" spans="12:15">
      <c r="L587">
        <f t="shared" si="27"/>
        <v>0</v>
      </c>
      <c r="O587">
        <f t="shared" si="26"/>
        <v>0</v>
      </c>
    </row>
    <row r="588" spans="12:15">
      <c r="L588">
        <f t="shared" si="27"/>
        <v>0</v>
      </c>
      <c r="O588">
        <f t="shared" si="26"/>
        <v>0</v>
      </c>
    </row>
    <row r="589" spans="12:15">
      <c r="L589">
        <f t="shared" si="27"/>
        <v>0</v>
      </c>
      <c r="O589">
        <f t="shared" si="26"/>
        <v>0</v>
      </c>
    </row>
    <row r="590" spans="12:15">
      <c r="L590">
        <f t="shared" si="27"/>
        <v>0</v>
      </c>
      <c r="O590">
        <f t="shared" si="26"/>
        <v>0</v>
      </c>
    </row>
    <row r="591" spans="12:15">
      <c r="L591">
        <f t="shared" si="27"/>
        <v>0</v>
      </c>
      <c r="O591">
        <f t="shared" si="26"/>
        <v>0</v>
      </c>
    </row>
    <row r="592" spans="12:15">
      <c r="L592">
        <f t="shared" si="27"/>
        <v>0</v>
      </c>
      <c r="O592">
        <f t="shared" si="26"/>
        <v>0</v>
      </c>
    </row>
    <row r="593" spans="12:15">
      <c r="L593">
        <f t="shared" si="27"/>
        <v>0</v>
      </c>
      <c r="O593">
        <f t="shared" si="26"/>
        <v>0</v>
      </c>
    </row>
    <row r="594" spans="12:15">
      <c r="L594">
        <f t="shared" si="27"/>
        <v>0</v>
      </c>
      <c r="O594">
        <f t="shared" si="26"/>
        <v>0</v>
      </c>
    </row>
    <row r="595" spans="12:15">
      <c r="L595">
        <f t="shared" si="27"/>
        <v>0</v>
      </c>
      <c r="O595">
        <f t="shared" si="26"/>
        <v>0</v>
      </c>
    </row>
    <row r="596" spans="12:15">
      <c r="L596">
        <f t="shared" si="27"/>
        <v>0</v>
      </c>
      <c r="O596">
        <f t="shared" si="26"/>
        <v>0</v>
      </c>
    </row>
    <row r="597" spans="12:15">
      <c r="L597">
        <f t="shared" si="27"/>
        <v>0</v>
      </c>
      <c r="O597">
        <f t="shared" si="26"/>
        <v>0</v>
      </c>
    </row>
    <row r="598" spans="12:15">
      <c r="L598">
        <f t="shared" si="27"/>
        <v>0</v>
      </c>
      <c r="O598">
        <f t="shared" si="26"/>
        <v>0</v>
      </c>
    </row>
    <row r="599" spans="12:15">
      <c r="L599">
        <f t="shared" si="27"/>
        <v>0</v>
      </c>
      <c r="O599">
        <f t="shared" si="26"/>
        <v>0</v>
      </c>
    </row>
    <row r="600" spans="12:15">
      <c r="L600">
        <f t="shared" si="27"/>
        <v>0</v>
      </c>
      <c r="O600">
        <f t="shared" si="26"/>
        <v>0</v>
      </c>
    </row>
    <row r="601" spans="12:15">
      <c r="L601">
        <f t="shared" si="27"/>
        <v>0</v>
      </c>
      <c r="O601">
        <f t="shared" si="26"/>
        <v>0</v>
      </c>
    </row>
    <row r="602" spans="12:15">
      <c r="L602">
        <f t="shared" si="27"/>
        <v>0</v>
      </c>
      <c r="O602">
        <f t="shared" si="26"/>
        <v>0</v>
      </c>
    </row>
    <row r="603" spans="12:15">
      <c r="L603">
        <f t="shared" si="27"/>
        <v>0</v>
      </c>
      <c r="O603">
        <f t="shared" si="26"/>
        <v>0</v>
      </c>
    </row>
    <row r="604" spans="12:15">
      <c r="L604">
        <f t="shared" si="27"/>
        <v>0</v>
      </c>
      <c r="O604">
        <f t="shared" si="26"/>
        <v>0</v>
      </c>
    </row>
    <row r="605" spans="12:15">
      <c r="L605">
        <f t="shared" si="27"/>
        <v>0</v>
      </c>
      <c r="O605">
        <f t="shared" si="26"/>
        <v>0</v>
      </c>
    </row>
    <row r="606" spans="12:15">
      <c r="L606">
        <f t="shared" si="27"/>
        <v>0</v>
      </c>
      <c r="O606">
        <f t="shared" si="26"/>
        <v>0</v>
      </c>
    </row>
    <row r="607" spans="12:15">
      <c r="L607">
        <f t="shared" si="27"/>
        <v>0</v>
      </c>
      <c r="O607">
        <f t="shared" si="26"/>
        <v>0</v>
      </c>
    </row>
    <row r="608" spans="12:15">
      <c r="L608">
        <f t="shared" si="27"/>
        <v>0</v>
      </c>
      <c r="O608">
        <f t="shared" si="26"/>
        <v>0</v>
      </c>
    </row>
    <row r="609" spans="12:15">
      <c r="L609">
        <f t="shared" si="27"/>
        <v>0</v>
      </c>
      <c r="O609">
        <f t="shared" si="26"/>
        <v>0</v>
      </c>
    </row>
    <row r="610" spans="12:15">
      <c r="L610">
        <f t="shared" si="27"/>
        <v>0</v>
      </c>
      <c r="O610">
        <f t="shared" si="26"/>
        <v>0</v>
      </c>
    </row>
    <row r="611" spans="12:15">
      <c r="L611">
        <f t="shared" si="27"/>
        <v>0</v>
      </c>
      <c r="O611">
        <f t="shared" si="26"/>
        <v>0</v>
      </c>
    </row>
    <row r="612" spans="12:15">
      <c r="L612">
        <f t="shared" si="27"/>
        <v>0</v>
      </c>
      <c r="O612">
        <f t="shared" si="26"/>
        <v>0</v>
      </c>
    </row>
    <row r="613" spans="12:15">
      <c r="L613">
        <f t="shared" si="27"/>
        <v>0</v>
      </c>
      <c r="O613">
        <f t="shared" si="26"/>
        <v>0</v>
      </c>
    </row>
    <row r="614" spans="12:15">
      <c r="L614">
        <f t="shared" si="27"/>
        <v>0</v>
      </c>
      <c r="O614">
        <f t="shared" si="26"/>
        <v>0</v>
      </c>
    </row>
    <row r="615" spans="12:15">
      <c r="L615">
        <f t="shared" si="27"/>
        <v>0</v>
      </c>
      <c r="O615">
        <f t="shared" si="26"/>
        <v>0</v>
      </c>
    </row>
    <row r="616" spans="12:15">
      <c r="L616">
        <f t="shared" si="27"/>
        <v>0</v>
      </c>
      <c r="O616">
        <f t="shared" si="26"/>
        <v>0</v>
      </c>
    </row>
    <row r="617" spans="12:15">
      <c r="L617">
        <f t="shared" si="27"/>
        <v>0</v>
      </c>
      <c r="O617">
        <f t="shared" si="26"/>
        <v>0</v>
      </c>
    </row>
    <row r="618" spans="12:15">
      <c r="L618">
        <f t="shared" si="27"/>
        <v>0</v>
      </c>
      <c r="O618">
        <f t="shared" si="26"/>
        <v>0</v>
      </c>
    </row>
    <row r="619" spans="12:15">
      <c r="L619">
        <f t="shared" si="27"/>
        <v>0</v>
      </c>
      <c r="O619">
        <f t="shared" si="26"/>
        <v>0</v>
      </c>
    </row>
    <row r="620" spans="12:15">
      <c r="L620">
        <f t="shared" si="27"/>
        <v>0</v>
      </c>
      <c r="O620">
        <f t="shared" si="26"/>
        <v>0</v>
      </c>
    </row>
    <row r="621" spans="12:15">
      <c r="L621">
        <f t="shared" si="27"/>
        <v>0</v>
      </c>
      <c r="O621">
        <f t="shared" si="26"/>
        <v>0</v>
      </c>
    </row>
    <row r="622" spans="12:15">
      <c r="L622">
        <f t="shared" si="27"/>
        <v>0</v>
      </c>
      <c r="O622">
        <f t="shared" si="26"/>
        <v>0</v>
      </c>
    </row>
    <row r="623" spans="12:15">
      <c r="L623">
        <f t="shared" si="27"/>
        <v>0</v>
      </c>
      <c r="O623">
        <f t="shared" si="26"/>
        <v>0</v>
      </c>
    </row>
    <row r="624" spans="12:15">
      <c r="L624">
        <f t="shared" si="27"/>
        <v>0</v>
      </c>
      <c r="O624">
        <f t="shared" si="26"/>
        <v>0</v>
      </c>
    </row>
    <row r="625" spans="12:15">
      <c r="L625">
        <f t="shared" si="27"/>
        <v>0</v>
      </c>
      <c r="O625">
        <f t="shared" si="26"/>
        <v>0</v>
      </c>
    </row>
    <row r="626" spans="12:15">
      <c r="L626">
        <f t="shared" si="27"/>
        <v>0</v>
      </c>
      <c r="O626">
        <f t="shared" si="26"/>
        <v>0</v>
      </c>
    </row>
    <row r="627" spans="12:15">
      <c r="L627">
        <f t="shared" si="27"/>
        <v>0</v>
      </c>
      <c r="O627">
        <f t="shared" si="26"/>
        <v>0</v>
      </c>
    </row>
    <row r="628" spans="12:15">
      <c r="L628">
        <f t="shared" si="27"/>
        <v>0</v>
      </c>
      <c r="O628">
        <f t="shared" si="26"/>
        <v>0</v>
      </c>
    </row>
    <row r="629" spans="12:15">
      <c r="L629">
        <f t="shared" si="27"/>
        <v>0</v>
      </c>
      <c r="O629">
        <f t="shared" si="26"/>
        <v>0</v>
      </c>
    </row>
    <row r="630" spans="12:15">
      <c r="L630">
        <f t="shared" si="27"/>
        <v>0</v>
      </c>
      <c r="O630">
        <f t="shared" si="26"/>
        <v>0</v>
      </c>
    </row>
    <row r="631" spans="12:15">
      <c r="L631">
        <f t="shared" si="27"/>
        <v>0</v>
      </c>
      <c r="O631">
        <f t="shared" si="26"/>
        <v>0</v>
      </c>
    </row>
    <row r="632" spans="12:15">
      <c r="L632">
        <f t="shared" si="27"/>
        <v>0</v>
      </c>
      <c r="O632">
        <f t="shared" si="26"/>
        <v>0</v>
      </c>
    </row>
    <row r="633" spans="12:15">
      <c r="L633">
        <f t="shared" si="27"/>
        <v>0</v>
      </c>
      <c r="O633">
        <f t="shared" si="26"/>
        <v>0</v>
      </c>
    </row>
    <row r="634" spans="12:15">
      <c r="L634">
        <f t="shared" si="27"/>
        <v>0</v>
      </c>
      <c r="O634">
        <f t="shared" si="26"/>
        <v>0</v>
      </c>
    </row>
    <row r="635" spans="12:15">
      <c r="L635">
        <f t="shared" si="27"/>
        <v>0</v>
      </c>
      <c r="O635">
        <f t="shared" si="26"/>
        <v>0</v>
      </c>
    </row>
    <row r="636" spans="12:15">
      <c r="L636">
        <f t="shared" si="27"/>
        <v>0</v>
      </c>
      <c r="O636">
        <f t="shared" si="26"/>
        <v>0</v>
      </c>
    </row>
    <row r="637" spans="12:15">
      <c r="L637">
        <f t="shared" si="27"/>
        <v>0</v>
      </c>
      <c r="O637">
        <f t="shared" si="26"/>
        <v>0</v>
      </c>
    </row>
    <row r="638" spans="12:15">
      <c r="L638">
        <f t="shared" si="27"/>
        <v>0</v>
      </c>
      <c r="O638">
        <f t="shared" si="26"/>
        <v>0</v>
      </c>
    </row>
    <row r="639" spans="12:15">
      <c r="L639">
        <f t="shared" si="27"/>
        <v>0</v>
      </c>
      <c r="O639">
        <f t="shared" si="26"/>
        <v>0</v>
      </c>
    </row>
    <row r="640" spans="12:15">
      <c r="L640">
        <f t="shared" si="27"/>
        <v>0</v>
      </c>
      <c r="O640">
        <f t="shared" si="26"/>
        <v>0</v>
      </c>
    </row>
    <row r="641" spans="12:15">
      <c r="L641">
        <f t="shared" si="27"/>
        <v>0</v>
      </c>
      <c r="O641">
        <f t="shared" si="26"/>
        <v>0</v>
      </c>
    </row>
    <row r="642" spans="12:15">
      <c r="L642">
        <f t="shared" si="27"/>
        <v>0</v>
      </c>
      <c r="O642">
        <f t="shared" si="26"/>
        <v>0</v>
      </c>
    </row>
    <row r="643" spans="12:15">
      <c r="L643">
        <f t="shared" si="27"/>
        <v>0</v>
      </c>
      <c r="O643">
        <f t="shared" si="26"/>
        <v>0</v>
      </c>
    </row>
    <row r="644" spans="12:15">
      <c r="L644">
        <f t="shared" si="27"/>
        <v>0</v>
      </c>
      <c r="O644">
        <f t="shared" si="26"/>
        <v>0</v>
      </c>
    </row>
    <row r="645" spans="12:15">
      <c r="L645">
        <f t="shared" si="27"/>
        <v>0</v>
      </c>
      <c r="O645">
        <f t="shared" si="26"/>
        <v>0</v>
      </c>
    </row>
    <row r="646" spans="12:15">
      <c r="L646">
        <f t="shared" si="27"/>
        <v>0</v>
      </c>
      <c r="O646">
        <f t="shared" ref="O646:O709" si="28">L646-M646-N646</f>
        <v>0</v>
      </c>
    </row>
    <row r="647" spans="12:15">
      <c r="L647">
        <f t="shared" si="27"/>
        <v>0</v>
      </c>
      <c r="O647">
        <f t="shared" si="28"/>
        <v>0</v>
      </c>
    </row>
    <row r="648" spans="12:15">
      <c r="L648">
        <f t="shared" ref="L648:L711" si="29">I648-J648-K648</f>
        <v>0</v>
      </c>
      <c r="O648">
        <f t="shared" si="28"/>
        <v>0</v>
      </c>
    </row>
    <row r="649" spans="12:15">
      <c r="L649">
        <f t="shared" si="29"/>
        <v>0</v>
      </c>
      <c r="O649">
        <f t="shared" si="28"/>
        <v>0</v>
      </c>
    </row>
    <row r="650" spans="12:15">
      <c r="L650">
        <f t="shared" si="29"/>
        <v>0</v>
      </c>
      <c r="O650">
        <f t="shared" si="28"/>
        <v>0</v>
      </c>
    </row>
    <row r="651" spans="12:15">
      <c r="L651">
        <f t="shared" si="29"/>
        <v>0</v>
      </c>
      <c r="O651">
        <f t="shared" si="28"/>
        <v>0</v>
      </c>
    </row>
    <row r="652" spans="12:15">
      <c r="L652">
        <f t="shared" si="29"/>
        <v>0</v>
      </c>
      <c r="O652">
        <f t="shared" si="28"/>
        <v>0</v>
      </c>
    </row>
    <row r="653" spans="12:15">
      <c r="L653">
        <f t="shared" si="29"/>
        <v>0</v>
      </c>
      <c r="O653">
        <f t="shared" si="28"/>
        <v>0</v>
      </c>
    </row>
    <row r="654" spans="12:15">
      <c r="L654">
        <f t="shared" si="29"/>
        <v>0</v>
      </c>
      <c r="O654">
        <f t="shared" si="28"/>
        <v>0</v>
      </c>
    </row>
    <row r="655" spans="12:15">
      <c r="L655">
        <f t="shared" si="29"/>
        <v>0</v>
      </c>
      <c r="O655">
        <f t="shared" si="28"/>
        <v>0</v>
      </c>
    </row>
    <row r="656" spans="12:15">
      <c r="L656">
        <f t="shared" si="29"/>
        <v>0</v>
      </c>
      <c r="O656">
        <f t="shared" si="28"/>
        <v>0</v>
      </c>
    </row>
    <row r="657" spans="12:15">
      <c r="L657">
        <f t="shared" si="29"/>
        <v>0</v>
      </c>
      <c r="O657">
        <f t="shared" si="28"/>
        <v>0</v>
      </c>
    </row>
    <row r="658" spans="12:15">
      <c r="L658">
        <f t="shared" si="29"/>
        <v>0</v>
      </c>
      <c r="O658">
        <f t="shared" si="28"/>
        <v>0</v>
      </c>
    </row>
    <row r="659" spans="12:15">
      <c r="L659">
        <f t="shared" si="29"/>
        <v>0</v>
      </c>
      <c r="O659">
        <f t="shared" si="28"/>
        <v>0</v>
      </c>
    </row>
    <row r="660" spans="12:15">
      <c r="L660">
        <f t="shared" si="29"/>
        <v>0</v>
      </c>
      <c r="O660">
        <f t="shared" si="28"/>
        <v>0</v>
      </c>
    </row>
    <row r="661" spans="12:15">
      <c r="L661">
        <f t="shared" si="29"/>
        <v>0</v>
      </c>
      <c r="O661">
        <f t="shared" si="28"/>
        <v>0</v>
      </c>
    </row>
    <row r="662" spans="12:15">
      <c r="L662">
        <f t="shared" si="29"/>
        <v>0</v>
      </c>
      <c r="O662">
        <f t="shared" si="28"/>
        <v>0</v>
      </c>
    </row>
    <row r="663" spans="12:15">
      <c r="L663">
        <f t="shared" si="29"/>
        <v>0</v>
      </c>
      <c r="O663">
        <f t="shared" si="28"/>
        <v>0</v>
      </c>
    </row>
    <row r="664" spans="12:15">
      <c r="L664">
        <f t="shared" si="29"/>
        <v>0</v>
      </c>
      <c r="O664">
        <f t="shared" si="28"/>
        <v>0</v>
      </c>
    </row>
    <row r="665" spans="12:15">
      <c r="L665">
        <f t="shared" si="29"/>
        <v>0</v>
      </c>
      <c r="O665">
        <f t="shared" si="28"/>
        <v>0</v>
      </c>
    </row>
    <row r="666" spans="12:15">
      <c r="L666">
        <f t="shared" si="29"/>
        <v>0</v>
      </c>
      <c r="O666">
        <f t="shared" si="28"/>
        <v>0</v>
      </c>
    </row>
    <row r="667" spans="12:15">
      <c r="L667">
        <f t="shared" si="29"/>
        <v>0</v>
      </c>
      <c r="O667">
        <f t="shared" si="28"/>
        <v>0</v>
      </c>
    </row>
    <row r="668" spans="12:15">
      <c r="L668">
        <f t="shared" si="29"/>
        <v>0</v>
      </c>
      <c r="O668">
        <f t="shared" si="28"/>
        <v>0</v>
      </c>
    </row>
    <row r="669" spans="12:15">
      <c r="L669">
        <f t="shared" si="29"/>
        <v>0</v>
      </c>
      <c r="O669">
        <f t="shared" si="28"/>
        <v>0</v>
      </c>
    </row>
    <row r="670" spans="12:15">
      <c r="L670">
        <f t="shared" si="29"/>
        <v>0</v>
      </c>
      <c r="O670">
        <f t="shared" si="28"/>
        <v>0</v>
      </c>
    </row>
    <row r="671" spans="12:15">
      <c r="L671">
        <f t="shared" si="29"/>
        <v>0</v>
      </c>
      <c r="O671">
        <f t="shared" si="28"/>
        <v>0</v>
      </c>
    </row>
    <row r="672" spans="12:15">
      <c r="L672">
        <f t="shared" si="29"/>
        <v>0</v>
      </c>
      <c r="O672">
        <f t="shared" si="28"/>
        <v>0</v>
      </c>
    </row>
    <row r="673" spans="12:15">
      <c r="L673">
        <f t="shared" si="29"/>
        <v>0</v>
      </c>
      <c r="O673">
        <f t="shared" si="28"/>
        <v>0</v>
      </c>
    </row>
    <row r="674" spans="12:15">
      <c r="L674">
        <f t="shared" si="29"/>
        <v>0</v>
      </c>
      <c r="O674">
        <f t="shared" si="28"/>
        <v>0</v>
      </c>
    </row>
    <row r="675" spans="12:15">
      <c r="L675">
        <f t="shared" si="29"/>
        <v>0</v>
      </c>
      <c r="O675">
        <f t="shared" si="28"/>
        <v>0</v>
      </c>
    </row>
    <row r="676" spans="12:15">
      <c r="L676">
        <f t="shared" si="29"/>
        <v>0</v>
      </c>
      <c r="O676">
        <f t="shared" si="28"/>
        <v>0</v>
      </c>
    </row>
    <row r="677" spans="12:15">
      <c r="L677">
        <f t="shared" si="29"/>
        <v>0</v>
      </c>
      <c r="O677">
        <f t="shared" si="28"/>
        <v>0</v>
      </c>
    </row>
    <row r="678" spans="12:15">
      <c r="L678">
        <f t="shared" si="29"/>
        <v>0</v>
      </c>
      <c r="O678">
        <f t="shared" si="28"/>
        <v>0</v>
      </c>
    </row>
    <row r="679" spans="12:15">
      <c r="L679">
        <f t="shared" si="29"/>
        <v>0</v>
      </c>
      <c r="O679">
        <f t="shared" si="28"/>
        <v>0</v>
      </c>
    </row>
    <row r="680" spans="12:15">
      <c r="L680">
        <f t="shared" si="29"/>
        <v>0</v>
      </c>
      <c r="O680">
        <f t="shared" si="28"/>
        <v>0</v>
      </c>
    </row>
    <row r="681" spans="12:15">
      <c r="L681">
        <f t="shared" si="29"/>
        <v>0</v>
      </c>
      <c r="O681">
        <f t="shared" si="28"/>
        <v>0</v>
      </c>
    </row>
    <row r="682" spans="12:15">
      <c r="L682">
        <f t="shared" si="29"/>
        <v>0</v>
      </c>
      <c r="O682">
        <f t="shared" si="28"/>
        <v>0</v>
      </c>
    </row>
    <row r="683" spans="12:15">
      <c r="L683">
        <f t="shared" si="29"/>
        <v>0</v>
      </c>
      <c r="O683">
        <f t="shared" si="28"/>
        <v>0</v>
      </c>
    </row>
    <row r="684" spans="12:15">
      <c r="L684">
        <f t="shared" si="29"/>
        <v>0</v>
      </c>
      <c r="O684">
        <f t="shared" si="28"/>
        <v>0</v>
      </c>
    </row>
    <row r="685" spans="12:15">
      <c r="L685">
        <f t="shared" si="29"/>
        <v>0</v>
      </c>
      <c r="O685">
        <f t="shared" si="28"/>
        <v>0</v>
      </c>
    </row>
    <row r="686" spans="12:15">
      <c r="L686">
        <f t="shared" si="29"/>
        <v>0</v>
      </c>
      <c r="O686">
        <f t="shared" si="28"/>
        <v>0</v>
      </c>
    </row>
    <row r="687" spans="12:15">
      <c r="L687">
        <f t="shared" si="29"/>
        <v>0</v>
      </c>
      <c r="O687">
        <f t="shared" si="28"/>
        <v>0</v>
      </c>
    </row>
    <row r="688" spans="12:15">
      <c r="L688">
        <f t="shared" si="29"/>
        <v>0</v>
      </c>
      <c r="O688">
        <f t="shared" si="28"/>
        <v>0</v>
      </c>
    </row>
    <row r="689" spans="12:15">
      <c r="L689">
        <f t="shared" si="29"/>
        <v>0</v>
      </c>
      <c r="O689">
        <f t="shared" si="28"/>
        <v>0</v>
      </c>
    </row>
    <row r="690" spans="12:15">
      <c r="L690">
        <f t="shared" si="29"/>
        <v>0</v>
      </c>
      <c r="O690">
        <f t="shared" si="28"/>
        <v>0</v>
      </c>
    </row>
    <row r="691" spans="12:15">
      <c r="L691">
        <f t="shared" si="29"/>
        <v>0</v>
      </c>
      <c r="O691">
        <f t="shared" si="28"/>
        <v>0</v>
      </c>
    </row>
    <row r="692" spans="12:15">
      <c r="L692">
        <f t="shared" si="29"/>
        <v>0</v>
      </c>
      <c r="O692">
        <f t="shared" si="28"/>
        <v>0</v>
      </c>
    </row>
    <row r="693" spans="12:15">
      <c r="L693">
        <f t="shared" si="29"/>
        <v>0</v>
      </c>
      <c r="O693">
        <f t="shared" si="28"/>
        <v>0</v>
      </c>
    </row>
    <row r="694" spans="12:15">
      <c r="L694">
        <f t="shared" si="29"/>
        <v>0</v>
      </c>
      <c r="O694">
        <f t="shared" si="28"/>
        <v>0</v>
      </c>
    </row>
    <row r="695" spans="12:15">
      <c r="L695">
        <f t="shared" si="29"/>
        <v>0</v>
      </c>
      <c r="O695">
        <f t="shared" si="28"/>
        <v>0</v>
      </c>
    </row>
    <row r="696" spans="12:15">
      <c r="L696">
        <f t="shared" si="29"/>
        <v>0</v>
      </c>
      <c r="O696">
        <f t="shared" si="28"/>
        <v>0</v>
      </c>
    </row>
    <row r="697" spans="12:15">
      <c r="L697">
        <f t="shared" si="29"/>
        <v>0</v>
      </c>
      <c r="O697">
        <f t="shared" si="28"/>
        <v>0</v>
      </c>
    </row>
    <row r="698" spans="12:15">
      <c r="L698">
        <f t="shared" si="29"/>
        <v>0</v>
      </c>
      <c r="O698">
        <f t="shared" si="28"/>
        <v>0</v>
      </c>
    </row>
    <row r="699" spans="12:15">
      <c r="L699">
        <f t="shared" si="29"/>
        <v>0</v>
      </c>
      <c r="O699">
        <f t="shared" si="28"/>
        <v>0</v>
      </c>
    </row>
    <row r="700" spans="12:15">
      <c r="L700">
        <f t="shared" si="29"/>
        <v>0</v>
      </c>
      <c r="O700">
        <f t="shared" si="28"/>
        <v>0</v>
      </c>
    </row>
    <row r="701" spans="12:15">
      <c r="L701">
        <f t="shared" si="29"/>
        <v>0</v>
      </c>
      <c r="O701">
        <f t="shared" si="28"/>
        <v>0</v>
      </c>
    </row>
    <row r="702" spans="12:15">
      <c r="L702">
        <f t="shared" si="29"/>
        <v>0</v>
      </c>
      <c r="O702">
        <f t="shared" si="28"/>
        <v>0</v>
      </c>
    </row>
    <row r="703" spans="12:15">
      <c r="L703">
        <f t="shared" si="29"/>
        <v>0</v>
      </c>
      <c r="O703">
        <f t="shared" si="28"/>
        <v>0</v>
      </c>
    </row>
    <row r="704" spans="12:15">
      <c r="L704">
        <f t="shared" si="29"/>
        <v>0</v>
      </c>
      <c r="O704">
        <f t="shared" si="28"/>
        <v>0</v>
      </c>
    </row>
    <row r="705" spans="12:15">
      <c r="L705">
        <f t="shared" si="29"/>
        <v>0</v>
      </c>
      <c r="O705">
        <f t="shared" si="28"/>
        <v>0</v>
      </c>
    </row>
    <row r="706" spans="12:15">
      <c r="L706">
        <f t="shared" si="29"/>
        <v>0</v>
      </c>
      <c r="O706">
        <f t="shared" si="28"/>
        <v>0</v>
      </c>
    </row>
    <row r="707" spans="12:15">
      <c r="L707">
        <f t="shared" si="29"/>
        <v>0</v>
      </c>
      <c r="O707">
        <f t="shared" si="28"/>
        <v>0</v>
      </c>
    </row>
    <row r="708" spans="12:15">
      <c r="L708">
        <f t="shared" si="29"/>
        <v>0</v>
      </c>
      <c r="O708">
        <f t="shared" si="28"/>
        <v>0</v>
      </c>
    </row>
    <row r="709" spans="12:15">
      <c r="L709">
        <f t="shared" si="29"/>
        <v>0</v>
      </c>
      <c r="O709">
        <f t="shared" si="28"/>
        <v>0</v>
      </c>
    </row>
    <row r="710" spans="12:15">
      <c r="L710">
        <f t="shared" si="29"/>
        <v>0</v>
      </c>
      <c r="O710">
        <f t="shared" ref="O710:O773" si="30">L710-M710-N710</f>
        <v>0</v>
      </c>
    </row>
    <row r="711" spans="12:15">
      <c r="L711">
        <f t="shared" si="29"/>
        <v>0</v>
      </c>
      <c r="O711">
        <f t="shared" si="30"/>
        <v>0</v>
      </c>
    </row>
    <row r="712" spans="12:15">
      <c r="L712">
        <f t="shared" ref="L712:L775" si="31">I712-J712-K712</f>
        <v>0</v>
      </c>
      <c r="O712">
        <f t="shared" si="30"/>
        <v>0</v>
      </c>
    </row>
    <row r="713" spans="12:15">
      <c r="L713">
        <f t="shared" si="31"/>
        <v>0</v>
      </c>
      <c r="O713">
        <f t="shared" si="30"/>
        <v>0</v>
      </c>
    </row>
    <row r="714" spans="12:15">
      <c r="L714">
        <f t="shared" si="31"/>
        <v>0</v>
      </c>
      <c r="O714">
        <f t="shared" si="30"/>
        <v>0</v>
      </c>
    </row>
    <row r="715" spans="12:15">
      <c r="L715">
        <f t="shared" si="31"/>
        <v>0</v>
      </c>
      <c r="O715">
        <f t="shared" si="30"/>
        <v>0</v>
      </c>
    </row>
    <row r="716" spans="12:15">
      <c r="L716">
        <f t="shared" si="31"/>
        <v>0</v>
      </c>
      <c r="O716">
        <f t="shared" si="30"/>
        <v>0</v>
      </c>
    </row>
    <row r="717" spans="12:15">
      <c r="L717">
        <f t="shared" si="31"/>
        <v>0</v>
      </c>
      <c r="O717">
        <f t="shared" si="30"/>
        <v>0</v>
      </c>
    </row>
    <row r="718" spans="12:15">
      <c r="L718">
        <f t="shared" si="31"/>
        <v>0</v>
      </c>
      <c r="O718">
        <f t="shared" si="30"/>
        <v>0</v>
      </c>
    </row>
    <row r="719" spans="12:15">
      <c r="L719">
        <f t="shared" si="31"/>
        <v>0</v>
      </c>
      <c r="O719">
        <f t="shared" si="30"/>
        <v>0</v>
      </c>
    </row>
    <row r="720" spans="12:15">
      <c r="L720">
        <f t="shared" si="31"/>
        <v>0</v>
      </c>
      <c r="O720">
        <f t="shared" si="30"/>
        <v>0</v>
      </c>
    </row>
    <row r="721" spans="12:15">
      <c r="L721">
        <f t="shared" si="31"/>
        <v>0</v>
      </c>
      <c r="O721">
        <f t="shared" si="30"/>
        <v>0</v>
      </c>
    </row>
    <row r="722" spans="12:15">
      <c r="L722">
        <f t="shared" si="31"/>
        <v>0</v>
      </c>
      <c r="O722">
        <f t="shared" si="30"/>
        <v>0</v>
      </c>
    </row>
    <row r="723" spans="12:15">
      <c r="L723">
        <f t="shared" si="31"/>
        <v>0</v>
      </c>
      <c r="O723">
        <f t="shared" si="30"/>
        <v>0</v>
      </c>
    </row>
    <row r="724" spans="12:15">
      <c r="L724">
        <f t="shared" si="31"/>
        <v>0</v>
      </c>
      <c r="O724">
        <f t="shared" si="30"/>
        <v>0</v>
      </c>
    </row>
    <row r="725" spans="12:15">
      <c r="L725">
        <f t="shared" si="31"/>
        <v>0</v>
      </c>
      <c r="O725">
        <f t="shared" si="30"/>
        <v>0</v>
      </c>
    </row>
    <row r="726" spans="12:15">
      <c r="L726">
        <f t="shared" si="31"/>
        <v>0</v>
      </c>
      <c r="O726">
        <f t="shared" si="30"/>
        <v>0</v>
      </c>
    </row>
    <row r="727" spans="12:15">
      <c r="L727">
        <f t="shared" si="31"/>
        <v>0</v>
      </c>
      <c r="O727">
        <f t="shared" si="30"/>
        <v>0</v>
      </c>
    </row>
    <row r="728" spans="12:15">
      <c r="L728">
        <f t="shared" si="31"/>
        <v>0</v>
      </c>
      <c r="O728">
        <f t="shared" si="30"/>
        <v>0</v>
      </c>
    </row>
    <row r="729" spans="12:15">
      <c r="L729">
        <f t="shared" si="31"/>
        <v>0</v>
      </c>
      <c r="O729">
        <f t="shared" si="30"/>
        <v>0</v>
      </c>
    </row>
    <row r="730" spans="12:15">
      <c r="L730">
        <f t="shared" si="31"/>
        <v>0</v>
      </c>
      <c r="O730">
        <f t="shared" si="30"/>
        <v>0</v>
      </c>
    </row>
    <row r="731" spans="12:15">
      <c r="L731">
        <f t="shared" si="31"/>
        <v>0</v>
      </c>
      <c r="O731">
        <f t="shared" si="30"/>
        <v>0</v>
      </c>
    </row>
    <row r="732" spans="12:15">
      <c r="L732">
        <f t="shared" si="31"/>
        <v>0</v>
      </c>
      <c r="O732">
        <f t="shared" si="30"/>
        <v>0</v>
      </c>
    </row>
    <row r="733" spans="12:15">
      <c r="L733">
        <f t="shared" si="31"/>
        <v>0</v>
      </c>
      <c r="O733">
        <f t="shared" si="30"/>
        <v>0</v>
      </c>
    </row>
    <row r="734" spans="12:15">
      <c r="L734">
        <f t="shared" si="31"/>
        <v>0</v>
      </c>
      <c r="O734">
        <f t="shared" si="30"/>
        <v>0</v>
      </c>
    </row>
    <row r="735" spans="12:15">
      <c r="L735">
        <f t="shared" si="31"/>
        <v>0</v>
      </c>
      <c r="O735">
        <f t="shared" si="30"/>
        <v>0</v>
      </c>
    </row>
    <row r="736" spans="12:15">
      <c r="L736">
        <f t="shared" si="31"/>
        <v>0</v>
      </c>
      <c r="O736">
        <f t="shared" si="30"/>
        <v>0</v>
      </c>
    </row>
    <row r="737" spans="12:15">
      <c r="L737">
        <f t="shared" si="31"/>
        <v>0</v>
      </c>
      <c r="O737">
        <f t="shared" si="30"/>
        <v>0</v>
      </c>
    </row>
    <row r="738" spans="12:15">
      <c r="L738">
        <f t="shared" si="31"/>
        <v>0</v>
      </c>
      <c r="O738">
        <f t="shared" si="30"/>
        <v>0</v>
      </c>
    </row>
    <row r="739" spans="12:15">
      <c r="L739">
        <f t="shared" si="31"/>
        <v>0</v>
      </c>
      <c r="O739">
        <f t="shared" si="30"/>
        <v>0</v>
      </c>
    </row>
    <row r="740" spans="12:15">
      <c r="L740">
        <f t="shared" si="31"/>
        <v>0</v>
      </c>
      <c r="O740">
        <f t="shared" si="30"/>
        <v>0</v>
      </c>
    </row>
    <row r="741" spans="12:15">
      <c r="L741">
        <f t="shared" si="31"/>
        <v>0</v>
      </c>
      <c r="O741">
        <f t="shared" si="30"/>
        <v>0</v>
      </c>
    </row>
    <row r="742" spans="12:15">
      <c r="L742">
        <f t="shared" si="31"/>
        <v>0</v>
      </c>
      <c r="O742">
        <f t="shared" si="30"/>
        <v>0</v>
      </c>
    </row>
    <row r="743" spans="12:15">
      <c r="L743">
        <f t="shared" si="31"/>
        <v>0</v>
      </c>
      <c r="O743">
        <f t="shared" si="30"/>
        <v>0</v>
      </c>
    </row>
    <row r="744" spans="12:15">
      <c r="L744">
        <f t="shared" si="31"/>
        <v>0</v>
      </c>
      <c r="O744">
        <f t="shared" si="30"/>
        <v>0</v>
      </c>
    </row>
    <row r="745" spans="12:15">
      <c r="L745">
        <f t="shared" si="31"/>
        <v>0</v>
      </c>
      <c r="O745">
        <f t="shared" si="30"/>
        <v>0</v>
      </c>
    </row>
    <row r="746" spans="12:15">
      <c r="L746">
        <f t="shared" si="31"/>
        <v>0</v>
      </c>
      <c r="O746">
        <f t="shared" si="30"/>
        <v>0</v>
      </c>
    </row>
    <row r="747" spans="12:15">
      <c r="L747">
        <f t="shared" si="31"/>
        <v>0</v>
      </c>
      <c r="O747">
        <f t="shared" si="30"/>
        <v>0</v>
      </c>
    </row>
    <row r="748" spans="12:15">
      <c r="L748">
        <f t="shared" si="31"/>
        <v>0</v>
      </c>
      <c r="O748">
        <f t="shared" si="30"/>
        <v>0</v>
      </c>
    </row>
    <row r="749" spans="12:15">
      <c r="L749">
        <f t="shared" si="31"/>
        <v>0</v>
      </c>
      <c r="O749">
        <f t="shared" si="30"/>
        <v>0</v>
      </c>
    </row>
    <row r="750" spans="12:15">
      <c r="L750">
        <f t="shared" si="31"/>
        <v>0</v>
      </c>
      <c r="O750">
        <f t="shared" si="30"/>
        <v>0</v>
      </c>
    </row>
    <row r="751" spans="12:15">
      <c r="L751">
        <f t="shared" si="31"/>
        <v>0</v>
      </c>
      <c r="O751">
        <f t="shared" si="30"/>
        <v>0</v>
      </c>
    </row>
    <row r="752" spans="12:15">
      <c r="L752">
        <f t="shared" si="31"/>
        <v>0</v>
      </c>
      <c r="O752">
        <f t="shared" si="30"/>
        <v>0</v>
      </c>
    </row>
    <row r="753" spans="12:15">
      <c r="L753">
        <f t="shared" si="31"/>
        <v>0</v>
      </c>
      <c r="O753">
        <f t="shared" si="30"/>
        <v>0</v>
      </c>
    </row>
    <row r="754" spans="12:15">
      <c r="L754">
        <f t="shared" si="31"/>
        <v>0</v>
      </c>
      <c r="O754">
        <f t="shared" si="30"/>
        <v>0</v>
      </c>
    </row>
    <row r="755" spans="12:15">
      <c r="L755">
        <f t="shared" si="31"/>
        <v>0</v>
      </c>
      <c r="O755">
        <f t="shared" si="30"/>
        <v>0</v>
      </c>
    </row>
    <row r="756" spans="12:15">
      <c r="L756">
        <f t="shared" si="31"/>
        <v>0</v>
      </c>
      <c r="O756">
        <f t="shared" si="30"/>
        <v>0</v>
      </c>
    </row>
    <row r="757" spans="12:15">
      <c r="L757">
        <f t="shared" si="31"/>
        <v>0</v>
      </c>
      <c r="O757">
        <f t="shared" si="30"/>
        <v>0</v>
      </c>
    </row>
    <row r="758" spans="12:15">
      <c r="L758">
        <f t="shared" si="31"/>
        <v>0</v>
      </c>
      <c r="O758">
        <f t="shared" si="30"/>
        <v>0</v>
      </c>
    </row>
    <row r="759" spans="12:15">
      <c r="L759">
        <f t="shared" si="31"/>
        <v>0</v>
      </c>
      <c r="O759">
        <f t="shared" si="30"/>
        <v>0</v>
      </c>
    </row>
    <row r="760" spans="12:15">
      <c r="L760">
        <f t="shared" si="31"/>
        <v>0</v>
      </c>
      <c r="O760">
        <f t="shared" si="30"/>
        <v>0</v>
      </c>
    </row>
    <row r="761" spans="12:15">
      <c r="L761">
        <f t="shared" si="31"/>
        <v>0</v>
      </c>
      <c r="O761">
        <f t="shared" si="30"/>
        <v>0</v>
      </c>
    </row>
    <row r="762" spans="12:15">
      <c r="L762">
        <f t="shared" si="31"/>
        <v>0</v>
      </c>
      <c r="O762">
        <f t="shared" si="30"/>
        <v>0</v>
      </c>
    </row>
    <row r="763" spans="12:15">
      <c r="L763">
        <f t="shared" si="31"/>
        <v>0</v>
      </c>
      <c r="O763">
        <f t="shared" si="30"/>
        <v>0</v>
      </c>
    </row>
    <row r="764" spans="12:15">
      <c r="L764">
        <f t="shared" si="31"/>
        <v>0</v>
      </c>
      <c r="O764">
        <f t="shared" si="30"/>
        <v>0</v>
      </c>
    </row>
    <row r="765" spans="12:15">
      <c r="L765">
        <f t="shared" si="31"/>
        <v>0</v>
      </c>
      <c r="O765">
        <f t="shared" si="30"/>
        <v>0</v>
      </c>
    </row>
    <row r="766" spans="12:15">
      <c r="L766">
        <f t="shared" si="31"/>
        <v>0</v>
      </c>
      <c r="O766">
        <f t="shared" si="30"/>
        <v>0</v>
      </c>
    </row>
    <row r="767" spans="12:15">
      <c r="L767">
        <f t="shared" si="31"/>
        <v>0</v>
      </c>
      <c r="O767">
        <f t="shared" si="30"/>
        <v>0</v>
      </c>
    </row>
    <row r="768" spans="12:15">
      <c r="L768">
        <f t="shared" si="31"/>
        <v>0</v>
      </c>
      <c r="O768">
        <f t="shared" si="30"/>
        <v>0</v>
      </c>
    </row>
    <row r="769" spans="12:15">
      <c r="L769">
        <f t="shared" si="31"/>
        <v>0</v>
      </c>
      <c r="O769">
        <f t="shared" si="30"/>
        <v>0</v>
      </c>
    </row>
    <row r="770" spans="12:15">
      <c r="L770">
        <f t="shared" si="31"/>
        <v>0</v>
      </c>
      <c r="O770">
        <f t="shared" si="30"/>
        <v>0</v>
      </c>
    </row>
    <row r="771" spans="12:15">
      <c r="L771">
        <f t="shared" si="31"/>
        <v>0</v>
      </c>
      <c r="O771">
        <f t="shared" si="30"/>
        <v>0</v>
      </c>
    </row>
    <row r="772" spans="12:15">
      <c r="L772">
        <f t="shared" si="31"/>
        <v>0</v>
      </c>
      <c r="O772">
        <f t="shared" si="30"/>
        <v>0</v>
      </c>
    </row>
    <row r="773" spans="12:15">
      <c r="L773">
        <f t="shared" si="31"/>
        <v>0</v>
      </c>
      <c r="O773">
        <f t="shared" si="30"/>
        <v>0</v>
      </c>
    </row>
    <row r="774" spans="12:15">
      <c r="L774">
        <f t="shared" si="31"/>
        <v>0</v>
      </c>
      <c r="O774">
        <f t="shared" ref="O774:O837" si="32">L774-M774-N774</f>
        <v>0</v>
      </c>
    </row>
    <row r="775" spans="12:15">
      <c r="L775">
        <f t="shared" si="31"/>
        <v>0</v>
      </c>
      <c r="O775">
        <f t="shared" si="32"/>
        <v>0</v>
      </c>
    </row>
    <row r="776" spans="12:15">
      <c r="L776">
        <f t="shared" ref="L776:L839" si="33">I776-J776-K776</f>
        <v>0</v>
      </c>
      <c r="O776">
        <f t="shared" si="32"/>
        <v>0</v>
      </c>
    </row>
    <row r="777" spans="12:15">
      <c r="L777">
        <f t="shared" si="33"/>
        <v>0</v>
      </c>
      <c r="O777">
        <f t="shared" si="32"/>
        <v>0</v>
      </c>
    </row>
    <row r="778" spans="12:15">
      <c r="L778">
        <f t="shared" si="33"/>
        <v>0</v>
      </c>
      <c r="O778">
        <f t="shared" si="32"/>
        <v>0</v>
      </c>
    </row>
    <row r="779" spans="12:15">
      <c r="L779">
        <f t="shared" si="33"/>
        <v>0</v>
      </c>
      <c r="O779">
        <f t="shared" si="32"/>
        <v>0</v>
      </c>
    </row>
    <row r="780" spans="12:15">
      <c r="L780">
        <f t="shared" si="33"/>
        <v>0</v>
      </c>
      <c r="O780">
        <f t="shared" si="32"/>
        <v>0</v>
      </c>
    </row>
    <row r="781" spans="12:15">
      <c r="L781">
        <f t="shared" si="33"/>
        <v>0</v>
      </c>
      <c r="O781">
        <f t="shared" si="32"/>
        <v>0</v>
      </c>
    </row>
    <row r="782" spans="12:15">
      <c r="L782">
        <f t="shared" si="33"/>
        <v>0</v>
      </c>
      <c r="O782">
        <f t="shared" si="32"/>
        <v>0</v>
      </c>
    </row>
    <row r="783" spans="12:15">
      <c r="L783">
        <f t="shared" si="33"/>
        <v>0</v>
      </c>
      <c r="O783">
        <f t="shared" si="32"/>
        <v>0</v>
      </c>
    </row>
    <row r="784" spans="12:15">
      <c r="L784">
        <f t="shared" si="33"/>
        <v>0</v>
      </c>
      <c r="O784">
        <f t="shared" si="32"/>
        <v>0</v>
      </c>
    </row>
    <row r="785" spans="12:15">
      <c r="L785">
        <f t="shared" si="33"/>
        <v>0</v>
      </c>
      <c r="O785">
        <f t="shared" si="32"/>
        <v>0</v>
      </c>
    </row>
    <row r="786" spans="12:15">
      <c r="L786">
        <f t="shared" si="33"/>
        <v>0</v>
      </c>
      <c r="O786">
        <f t="shared" si="32"/>
        <v>0</v>
      </c>
    </row>
    <row r="787" spans="12:15">
      <c r="L787">
        <f t="shared" si="33"/>
        <v>0</v>
      </c>
      <c r="O787">
        <f t="shared" si="32"/>
        <v>0</v>
      </c>
    </row>
    <row r="788" spans="12:15">
      <c r="L788">
        <f t="shared" si="33"/>
        <v>0</v>
      </c>
      <c r="O788">
        <f t="shared" si="32"/>
        <v>0</v>
      </c>
    </row>
    <row r="789" spans="12:15">
      <c r="L789">
        <f t="shared" si="33"/>
        <v>0</v>
      </c>
      <c r="O789">
        <f t="shared" si="32"/>
        <v>0</v>
      </c>
    </row>
    <row r="790" spans="12:15">
      <c r="L790">
        <f t="shared" si="33"/>
        <v>0</v>
      </c>
      <c r="O790">
        <f t="shared" si="32"/>
        <v>0</v>
      </c>
    </row>
    <row r="791" spans="12:15">
      <c r="L791">
        <f t="shared" si="33"/>
        <v>0</v>
      </c>
      <c r="O791">
        <f t="shared" si="32"/>
        <v>0</v>
      </c>
    </row>
    <row r="792" spans="12:15">
      <c r="L792">
        <f t="shared" si="33"/>
        <v>0</v>
      </c>
      <c r="O792">
        <f t="shared" si="32"/>
        <v>0</v>
      </c>
    </row>
    <row r="793" spans="12:15">
      <c r="L793">
        <f t="shared" si="33"/>
        <v>0</v>
      </c>
      <c r="O793">
        <f t="shared" si="32"/>
        <v>0</v>
      </c>
    </row>
    <row r="794" spans="12:15">
      <c r="L794">
        <f t="shared" si="33"/>
        <v>0</v>
      </c>
      <c r="O794">
        <f t="shared" si="32"/>
        <v>0</v>
      </c>
    </row>
    <row r="795" spans="12:15">
      <c r="L795">
        <f t="shared" si="33"/>
        <v>0</v>
      </c>
      <c r="O795">
        <f t="shared" si="32"/>
        <v>0</v>
      </c>
    </row>
    <row r="796" spans="12:15">
      <c r="L796">
        <f t="shared" si="33"/>
        <v>0</v>
      </c>
      <c r="O796">
        <f t="shared" si="32"/>
        <v>0</v>
      </c>
    </row>
    <row r="797" spans="12:15">
      <c r="L797">
        <f t="shared" si="33"/>
        <v>0</v>
      </c>
      <c r="O797">
        <f t="shared" si="32"/>
        <v>0</v>
      </c>
    </row>
    <row r="798" spans="12:15">
      <c r="L798">
        <f t="shared" si="33"/>
        <v>0</v>
      </c>
      <c r="O798">
        <f t="shared" si="32"/>
        <v>0</v>
      </c>
    </row>
    <row r="799" spans="12:15">
      <c r="L799">
        <f t="shared" si="33"/>
        <v>0</v>
      </c>
      <c r="O799">
        <f t="shared" si="32"/>
        <v>0</v>
      </c>
    </row>
    <row r="800" spans="12:15">
      <c r="L800">
        <f t="shared" si="33"/>
        <v>0</v>
      </c>
      <c r="O800">
        <f t="shared" si="32"/>
        <v>0</v>
      </c>
    </row>
    <row r="801" spans="12:15">
      <c r="L801">
        <f t="shared" si="33"/>
        <v>0</v>
      </c>
      <c r="O801">
        <f t="shared" si="32"/>
        <v>0</v>
      </c>
    </row>
    <row r="802" spans="12:15">
      <c r="L802">
        <f t="shared" si="33"/>
        <v>0</v>
      </c>
      <c r="O802">
        <f t="shared" si="32"/>
        <v>0</v>
      </c>
    </row>
    <row r="803" spans="12:15">
      <c r="L803">
        <f t="shared" si="33"/>
        <v>0</v>
      </c>
      <c r="O803">
        <f t="shared" si="32"/>
        <v>0</v>
      </c>
    </row>
    <row r="804" spans="12:15">
      <c r="L804">
        <f t="shared" si="33"/>
        <v>0</v>
      </c>
      <c r="O804">
        <f t="shared" si="32"/>
        <v>0</v>
      </c>
    </row>
    <row r="805" spans="12:15">
      <c r="L805">
        <f t="shared" si="33"/>
        <v>0</v>
      </c>
      <c r="O805">
        <f t="shared" si="32"/>
        <v>0</v>
      </c>
    </row>
    <row r="806" spans="12:15">
      <c r="L806">
        <f t="shared" si="33"/>
        <v>0</v>
      </c>
      <c r="O806">
        <f t="shared" si="32"/>
        <v>0</v>
      </c>
    </row>
    <row r="807" spans="12:15">
      <c r="L807">
        <f t="shared" si="33"/>
        <v>0</v>
      </c>
      <c r="O807">
        <f t="shared" si="32"/>
        <v>0</v>
      </c>
    </row>
    <row r="808" spans="12:15">
      <c r="L808">
        <f t="shared" si="33"/>
        <v>0</v>
      </c>
      <c r="O808">
        <f t="shared" si="32"/>
        <v>0</v>
      </c>
    </row>
    <row r="809" spans="12:15">
      <c r="L809">
        <f t="shared" si="33"/>
        <v>0</v>
      </c>
      <c r="O809">
        <f t="shared" si="32"/>
        <v>0</v>
      </c>
    </row>
    <row r="810" spans="12:15">
      <c r="L810">
        <f t="shared" si="33"/>
        <v>0</v>
      </c>
      <c r="O810">
        <f t="shared" si="32"/>
        <v>0</v>
      </c>
    </row>
    <row r="811" spans="12:15">
      <c r="L811">
        <f t="shared" si="33"/>
        <v>0</v>
      </c>
      <c r="O811">
        <f t="shared" si="32"/>
        <v>0</v>
      </c>
    </row>
    <row r="812" spans="12:15">
      <c r="L812">
        <f t="shared" si="33"/>
        <v>0</v>
      </c>
      <c r="O812">
        <f t="shared" si="32"/>
        <v>0</v>
      </c>
    </row>
    <row r="813" spans="12:15">
      <c r="L813">
        <f t="shared" si="33"/>
        <v>0</v>
      </c>
      <c r="O813">
        <f t="shared" si="32"/>
        <v>0</v>
      </c>
    </row>
    <row r="814" spans="12:15">
      <c r="L814">
        <f t="shared" si="33"/>
        <v>0</v>
      </c>
      <c r="O814">
        <f t="shared" si="32"/>
        <v>0</v>
      </c>
    </row>
    <row r="815" spans="12:15">
      <c r="L815">
        <f t="shared" si="33"/>
        <v>0</v>
      </c>
      <c r="O815">
        <f t="shared" si="32"/>
        <v>0</v>
      </c>
    </row>
    <row r="816" spans="12:15">
      <c r="L816">
        <f t="shared" si="33"/>
        <v>0</v>
      </c>
      <c r="O816">
        <f t="shared" si="32"/>
        <v>0</v>
      </c>
    </row>
    <row r="817" spans="12:15">
      <c r="L817">
        <f t="shared" si="33"/>
        <v>0</v>
      </c>
      <c r="O817">
        <f t="shared" si="32"/>
        <v>0</v>
      </c>
    </row>
    <row r="818" spans="12:15">
      <c r="L818">
        <f t="shared" si="33"/>
        <v>0</v>
      </c>
      <c r="O818">
        <f t="shared" si="32"/>
        <v>0</v>
      </c>
    </row>
    <row r="819" spans="12:15">
      <c r="L819">
        <f t="shared" si="33"/>
        <v>0</v>
      </c>
      <c r="O819">
        <f t="shared" si="32"/>
        <v>0</v>
      </c>
    </row>
    <row r="820" spans="12:15">
      <c r="L820">
        <f t="shared" si="33"/>
        <v>0</v>
      </c>
      <c r="O820">
        <f t="shared" si="32"/>
        <v>0</v>
      </c>
    </row>
    <row r="821" spans="12:15">
      <c r="L821">
        <f t="shared" si="33"/>
        <v>0</v>
      </c>
      <c r="O821">
        <f t="shared" si="32"/>
        <v>0</v>
      </c>
    </row>
    <row r="822" spans="12:15">
      <c r="L822">
        <f t="shared" si="33"/>
        <v>0</v>
      </c>
      <c r="O822">
        <f t="shared" si="32"/>
        <v>0</v>
      </c>
    </row>
    <row r="823" spans="12:15">
      <c r="L823">
        <f t="shared" si="33"/>
        <v>0</v>
      </c>
      <c r="O823">
        <f t="shared" si="32"/>
        <v>0</v>
      </c>
    </row>
    <row r="824" spans="12:15">
      <c r="L824">
        <f t="shared" si="33"/>
        <v>0</v>
      </c>
      <c r="O824">
        <f t="shared" si="32"/>
        <v>0</v>
      </c>
    </row>
    <row r="825" spans="12:15">
      <c r="L825">
        <f t="shared" si="33"/>
        <v>0</v>
      </c>
      <c r="O825">
        <f t="shared" si="32"/>
        <v>0</v>
      </c>
    </row>
    <row r="826" spans="12:15">
      <c r="L826">
        <f t="shared" si="33"/>
        <v>0</v>
      </c>
      <c r="O826">
        <f t="shared" si="32"/>
        <v>0</v>
      </c>
    </row>
    <row r="827" spans="12:15">
      <c r="L827">
        <f t="shared" si="33"/>
        <v>0</v>
      </c>
      <c r="O827">
        <f t="shared" si="32"/>
        <v>0</v>
      </c>
    </row>
    <row r="828" spans="12:15">
      <c r="L828">
        <f t="shared" si="33"/>
        <v>0</v>
      </c>
      <c r="O828">
        <f t="shared" si="32"/>
        <v>0</v>
      </c>
    </row>
    <row r="829" spans="12:15">
      <c r="L829">
        <f t="shared" si="33"/>
        <v>0</v>
      </c>
      <c r="O829">
        <f t="shared" si="32"/>
        <v>0</v>
      </c>
    </row>
    <row r="830" spans="12:15">
      <c r="L830">
        <f t="shared" si="33"/>
        <v>0</v>
      </c>
      <c r="O830">
        <f t="shared" si="32"/>
        <v>0</v>
      </c>
    </row>
    <row r="831" spans="12:15">
      <c r="L831">
        <f t="shared" si="33"/>
        <v>0</v>
      </c>
      <c r="O831">
        <f t="shared" si="32"/>
        <v>0</v>
      </c>
    </row>
    <row r="832" spans="12:15">
      <c r="L832">
        <f t="shared" si="33"/>
        <v>0</v>
      </c>
      <c r="O832">
        <f t="shared" si="32"/>
        <v>0</v>
      </c>
    </row>
    <row r="833" spans="12:15">
      <c r="L833">
        <f t="shared" si="33"/>
        <v>0</v>
      </c>
      <c r="O833">
        <f t="shared" si="32"/>
        <v>0</v>
      </c>
    </row>
    <row r="834" spans="12:15">
      <c r="L834">
        <f t="shared" si="33"/>
        <v>0</v>
      </c>
      <c r="O834">
        <f t="shared" si="32"/>
        <v>0</v>
      </c>
    </row>
    <row r="835" spans="12:15">
      <c r="L835">
        <f t="shared" si="33"/>
        <v>0</v>
      </c>
      <c r="O835">
        <f t="shared" si="32"/>
        <v>0</v>
      </c>
    </row>
    <row r="836" spans="12:15">
      <c r="L836">
        <f t="shared" si="33"/>
        <v>0</v>
      </c>
      <c r="O836">
        <f t="shared" si="32"/>
        <v>0</v>
      </c>
    </row>
    <row r="837" spans="12:15">
      <c r="L837">
        <f t="shared" si="33"/>
        <v>0</v>
      </c>
      <c r="O837">
        <f t="shared" si="32"/>
        <v>0</v>
      </c>
    </row>
    <row r="838" spans="12:15">
      <c r="L838">
        <f t="shared" si="33"/>
        <v>0</v>
      </c>
      <c r="O838">
        <f t="shared" ref="O838:O901" si="34">L838-M838-N838</f>
        <v>0</v>
      </c>
    </row>
    <row r="839" spans="12:15">
      <c r="L839">
        <f t="shared" si="33"/>
        <v>0</v>
      </c>
      <c r="O839">
        <f t="shared" si="34"/>
        <v>0</v>
      </c>
    </row>
    <row r="840" spans="12:15">
      <c r="L840">
        <f t="shared" ref="L840:L903" si="35">I840-J840-K840</f>
        <v>0</v>
      </c>
      <c r="O840">
        <f t="shared" si="34"/>
        <v>0</v>
      </c>
    </row>
    <row r="841" spans="12:15">
      <c r="L841">
        <f t="shared" si="35"/>
        <v>0</v>
      </c>
      <c r="O841">
        <f t="shared" si="34"/>
        <v>0</v>
      </c>
    </row>
    <row r="842" spans="12:15">
      <c r="L842">
        <f t="shared" si="35"/>
        <v>0</v>
      </c>
      <c r="O842">
        <f t="shared" si="34"/>
        <v>0</v>
      </c>
    </row>
    <row r="843" spans="12:15">
      <c r="L843">
        <f t="shared" si="35"/>
        <v>0</v>
      </c>
      <c r="O843">
        <f t="shared" si="34"/>
        <v>0</v>
      </c>
    </row>
    <row r="844" spans="12:15">
      <c r="L844">
        <f t="shared" si="35"/>
        <v>0</v>
      </c>
      <c r="O844">
        <f t="shared" si="34"/>
        <v>0</v>
      </c>
    </row>
    <row r="845" spans="12:15">
      <c r="L845">
        <f t="shared" si="35"/>
        <v>0</v>
      </c>
      <c r="O845">
        <f t="shared" si="34"/>
        <v>0</v>
      </c>
    </row>
    <row r="846" spans="12:15">
      <c r="L846">
        <f t="shared" si="35"/>
        <v>0</v>
      </c>
      <c r="O846">
        <f t="shared" si="34"/>
        <v>0</v>
      </c>
    </row>
    <row r="847" spans="12:15">
      <c r="L847">
        <f t="shared" si="35"/>
        <v>0</v>
      </c>
      <c r="O847">
        <f t="shared" si="34"/>
        <v>0</v>
      </c>
    </row>
    <row r="848" spans="12:15">
      <c r="L848">
        <f t="shared" si="35"/>
        <v>0</v>
      </c>
      <c r="O848">
        <f t="shared" si="34"/>
        <v>0</v>
      </c>
    </row>
    <row r="849" spans="12:15">
      <c r="L849">
        <f t="shared" si="35"/>
        <v>0</v>
      </c>
      <c r="O849">
        <f t="shared" si="34"/>
        <v>0</v>
      </c>
    </row>
    <row r="850" spans="12:15">
      <c r="L850">
        <f t="shared" si="35"/>
        <v>0</v>
      </c>
      <c r="O850">
        <f t="shared" si="34"/>
        <v>0</v>
      </c>
    </row>
    <row r="851" spans="12:15">
      <c r="L851">
        <f t="shared" si="35"/>
        <v>0</v>
      </c>
      <c r="O851">
        <f t="shared" si="34"/>
        <v>0</v>
      </c>
    </row>
    <row r="852" spans="12:15">
      <c r="L852">
        <f t="shared" si="35"/>
        <v>0</v>
      </c>
      <c r="O852">
        <f t="shared" si="34"/>
        <v>0</v>
      </c>
    </row>
    <row r="853" spans="12:15">
      <c r="L853">
        <f t="shared" si="35"/>
        <v>0</v>
      </c>
      <c r="O853">
        <f t="shared" si="34"/>
        <v>0</v>
      </c>
    </row>
    <row r="854" spans="12:15">
      <c r="L854">
        <f t="shared" si="35"/>
        <v>0</v>
      </c>
      <c r="O854">
        <f t="shared" si="34"/>
        <v>0</v>
      </c>
    </row>
    <row r="855" spans="12:15">
      <c r="L855">
        <f t="shared" si="35"/>
        <v>0</v>
      </c>
      <c r="O855">
        <f t="shared" si="34"/>
        <v>0</v>
      </c>
    </row>
    <row r="856" spans="12:15">
      <c r="L856">
        <f t="shared" si="35"/>
        <v>0</v>
      </c>
      <c r="O856">
        <f t="shared" si="34"/>
        <v>0</v>
      </c>
    </row>
    <row r="857" spans="12:15">
      <c r="L857">
        <f t="shared" si="35"/>
        <v>0</v>
      </c>
      <c r="O857">
        <f t="shared" si="34"/>
        <v>0</v>
      </c>
    </row>
    <row r="858" spans="12:15">
      <c r="L858">
        <f t="shared" si="35"/>
        <v>0</v>
      </c>
      <c r="O858">
        <f t="shared" si="34"/>
        <v>0</v>
      </c>
    </row>
    <row r="859" spans="12:15">
      <c r="L859">
        <f t="shared" si="35"/>
        <v>0</v>
      </c>
      <c r="O859">
        <f t="shared" si="34"/>
        <v>0</v>
      </c>
    </row>
    <row r="860" spans="12:15">
      <c r="L860">
        <f t="shared" si="35"/>
        <v>0</v>
      </c>
      <c r="O860">
        <f t="shared" si="34"/>
        <v>0</v>
      </c>
    </row>
    <row r="861" spans="12:15">
      <c r="L861">
        <f t="shared" si="35"/>
        <v>0</v>
      </c>
      <c r="O861">
        <f t="shared" si="34"/>
        <v>0</v>
      </c>
    </row>
    <row r="862" spans="12:15">
      <c r="L862">
        <f t="shared" si="35"/>
        <v>0</v>
      </c>
      <c r="O862">
        <f t="shared" si="34"/>
        <v>0</v>
      </c>
    </row>
    <row r="863" spans="12:15">
      <c r="L863">
        <f t="shared" si="35"/>
        <v>0</v>
      </c>
      <c r="O863">
        <f t="shared" si="34"/>
        <v>0</v>
      </c>
    </row>
    <row r="864" spans="12:15">
      <c r="L864">
        <f t="shared" si="35"/>
        <v>0</v>
      </c>
      <c r="O864">
        <f t="shared" si="34"/>
        <v>0</v>
      </c>
    </row>
    <row r="865" spans="12:15">
      <c r="L865">
        <f t="shared" si="35"/>
        <v>0</v>
      </c>
      <c r="O865">
        <f t="shared" si="34"/>
        <v>0</v>
      </c>
    </row>
    <row r="866" spans="12:15">
      <c r="L866">
        <f t="shared" si="35"/>
        <v>0</v>
      </c>
      <c r="O866">
        <f t="shared" si="34"/>
        <v>0</v>
      </c>
    </row>
    <row r="867" spans="12:15">
      <c r="L867">
        <f t="shared" si="35"/>
        <v>0</v>
      </c>
      <c r="O867">
        <f t="shared" si="34"/>
        <v>0</v>
      </c>
    </row>
    <row r="868" spans="12:15">
      <c r="L868">
        <f t="shared" si="35"/>
        <v>0</v>
      </c>
      <c r="O868">
        <f t="shared" si="34"/>
        <v>0</v>
      </c>
    </row>
    <row r="869" spans="12:15">
      <c r="L869">
        <f t="shared" si="35"/>
        <v>0</v>
      </c>
      <c r="O869">
        <f t="shared" si="34"/>
        <v>0</v>
      </c>
    </row>
    <row r="870" spans="12:15">
      <c r="L870">
        <f t="shared" si="35"/>
        <v>0</v>
      </c>
      <c r="O870">
        <f t="shared" si="34"/>
        <v>0</v>
      </c>
    </row>
    <row r="871" spans="12:15">
      <c r="L871">
        <f t="shared" si="35"/>
        <v>0</v>
      </c>
      <c r="O871">
        <f t="shared" si="34"/>
        <v>0</v>
      </c>
    </row>
    <row r="872" spans="12:15">
      <c r="L872">
        <f t="shared" si="35"/>
        <v>0</v>
      </c>
      <c r="O872">
        <f t="shared" si="34"/>
        <v>0</v>
      </c>
    </row>
    <row r="873" spans="12:15">
      <c r="L873">
        <f t="shared" si="35"/>
        <v>0</v>
      </c>
      <c r="O873">
        <f t="shared" si="34"/>
        <v>0</v>
      </c>
    </row>
    <row r="874" spans="12:15">
      <c r="L874">
        <f t="shared" si="35"/>
        <v>0</v>
      </c>
      <c r="O874">
        <f t="shared" si="34"/>
        <v>0</v>
      </c>
    </row>
    <row r="875" spans="12:15">
      <c r="L875">
        <f t="shared" si="35"/>
        <v>0</v>
      </c>
      <c r="O875">
        <f t="shared" si="34"/>
        <v>0</v>
      </c>
    </row>
    <row r="876" spans="12:15">
      <c r="L876">
        <f t="shared" si="35"/>
        <v>0</v>
      </c>
      <c r="O876">
        <f t="shared" si="34"/>
        <v>0</v>
      </c>
    </row>
    <row r="877" spans="12:15">
      <c r="L877">
        <f t="shared" si="35"/>
        <v>0</v>
      </c>
      <c r="O877">
        <f t="shared" si="34"/>
        <v>0</v>
      </c>
    </row>
    <row r="878" spans="12:15">
      <c r="L878">
        <f t="shared" si="35"/>
        <v>0</v>
      </c>
      <c r="O878">
        <f t="shared" si="34"/>
        <v>0</v>
      </c>
    </row>
    <row r="879" spans="12:15">
      <c r="L879">
        <f t="shared" si="35"/>
        <v>0</v>
      </c>
      <c r="O879">
        <f t="shared" si="34"/>
        <v>0</v>
      </c>
    </row>
    <row r="880" spans="12:15">
      <c r="L880">
        <f t="shared" si="35"/>
        <v>0</v>
      </c>
      <c r="O880">
        <f t="shared" si="34"/>
        <v>0</v>
      </c>
    </row>
    <row r="881" spans="12:15">
      <c r="L881">
        <f t="shared" si="35"/>
        <v>0</v>
      </c>
      <c r="O881">
        <f t="shared" si="34"/>
        <v>0</v>
      </c>
    </row>
    <row r="882" spans="12:15">
      <c r="L882">
        <f t="shared" si="35"/>
        <v>0</v>
      </c>
      <c r="O882">
        <f t="shared" si="34"/>
        <v>0</v>
      </c>
    </row>
    <row r="883" spans="12:15">
      <c r="L883">
        <f t="shared" si="35"/>
        <v>0</v>
      </c>
      <c r="O883">
        <f t="shared" si="34"/>
        <v>0</v>
      </c>
    </row>
    <row r="884" spans="12:15">
      <c r="L884">
        <f t="shared" si="35"/>
        <v>0</v>
      </c>
      <c r="O884">
        <f t="shared" si="34"/>
        <v>0</v>
      </c>
    </row>
    <row r="885" spans="12:15">
      <c r="L885">
        <f t="shared" si="35"/>
        <v>0</v>
      </c>
      <c r="O885">
        <f t="shared" si="34"/>
        <v>0</v>
      </c>
    </row>
    <row r="886" spans="12:15">
      <c r="L886">
        <f t="shared" si="35"/>
        <v>0</v>
      </c>
      <c r="O886">
        <f t="shared" si="34"/>
        <v>0</v>
      </c>
    </row>
    <row r="887" spans="12:15">
      <c r="L887">
        <f t="shared" si="35"/>
        <v>0</v>
      </c>
      <c r="O887">
        <f t="shared" si="34"/>
        <v>0</v>
      </c>
    </row>
    <row r="888" spans="12:15">
      <c r="L888">
        <f t="shared" si="35"/>
        <v>0</v>
      </c>
      <c r="O888">
        <f t="shared" si="34"/>
        <v>0</v>
      </c>
    </row>
    <row r="889" spans="12:15">
      <c r="L889">
        <f t="shared" si="35"/>
        <v>0</v>
      </c>
      <c r="O889">
        <f t="shared" si="34"/>
        <v>0</v>
      </c>
    </row>
    <row r="890" spans="12:15">
      <c r="L890">
        <f t="shared" si="35"/>
        <v>0</v>
      </c>
      <c r="O890">
        <f t="shared" si="34"/>
        <v>0</v>
      </c>
    </row>
    <row r="891" spans="12:15">
      <c r="L891">
        <f t="shared" si="35"/>
        <v>0</v>
      </c>
      <c r="O891">
        <f t="shared" si="34"/>
        <v>0</v>
      </c>
    </row>
    <row r="892" spans="12:15">
      <c r="L892">
        <f t="shared" si="35"/>
        <v>0</v>
      </c>
      <c r="O892">
        <f t="shared" si="34"/>
        <v>0</v>
      </c>
    </row>
    <row r="893" spans="12:15">
      <c r="L893">
        <f t="shared" si="35"/>
        <v>0</v>
      </c>
      <c r="O893">
        <f t="shared" si="34"/>
        <v>0</v>
      </c>
    </row>
    <row r="894" spans="12:15">
      <c r="L894">
        <f t="shared" si="35"/>
        <v>0</v>
      </c>
      <c r="O894">
        <f t="shared" si="34"/>
        <v>0</v>
      </c>
    </row>
    <row r="895" spans="12:15">
      <c r="L895">
        <f t="shared" si="35"/>
        <v>0</v>
      </c>
      <c r="O895">
        <f t="shared" si="34"/>
        <v>0</v>
      </c>
    </row>
    <row r="896" spans="12:15">
      <c r="L896">
        <f t="shared" si="35"/>
        <v>0</v>
      </c>
      <c r="O896">
        <f t="shared" si="34"/>
        <v>0</v>
      </c>
    </row>
    <row r="897" spans="12:15">
      <c r="L897">
        <f t="shared" si="35"/>
        <v>0</v>
      </c>
      <c r="O897">
        <f t="shared" si="34"/>
        <v>0</v>
      </c>
    </row>
    <row r="898" spans="12:15">
      <c r="L898">
        <f t="shared" si="35"/>
        <v>0</v>
      </c>
      <c r="O898">
        <f t="shared" si="34"/>
        <v>0</v>
      </c>
    </row>
    <row r="899" spans="12:15">
      <c r="L899">
        <f t="shared" si="35"/>
        <v>0</v>
      </c>
      <c r="O899">
        <f t="shared" si="34"/>
        <v>0</v>
      </c>
    </row>
    <row r="900" spans="12:15">
      <c r="L900">
        <f t="shared" si="35"/>
        <v>0</v>
      </c>
      <c r="O900">
        <f t="shared" si="34"/>
        <v>0</v>
      </c>
    </row>
    <row r="901" spans="12:15">
      <c r="L901">
        <f t="shared" si="35"/>
        <v>0</v>
      </c>
      <c r="O901">
        <f t="shared" si="34"/>
        <v>0</v>
      </c>
    </row>
    <row r="902" spans="12:15">
      <c r="L902">
        <f t="shared" si="35"/>
        <v>0</v>
      </c>
      <c r="O902">
        <f t="shared" ref="O902:O965" si="36">L902-M902-N902</f>
        <v>0</v>
      </c>
    </row>
    <row r="903" spans="12:15">
      <c r="L903">
        <f t="shared" si="35"/>
        <v>0</v>
      </c>
      <c r="O903">
        <f t="shared" si="36"/>
        <v>0</v>
      </c>
    </row>
    <row r="904" spans="12:15">
      <c r="L904">
        <f t="shared" ref="L904:L967" si="37">I904-J904-K904</f>
        <v>0</v>
      </c>
      <c r="O904">
        <f t="shared" si="36"/>
        <v>0</v>
      </c>
    </row>
    <row r="905" spans="12:15">
      <c r="L905">
        <f t="shared" si="37"/>
        <v>0</v>
      </c>
      <c r="O905">
        <f t="shared" si="36"/>
        <v>0</v>
      </c>
    </row>
    <row r="906" spans="12:15">
      <c r="L906">
        <f t="shared" si="37"/>
        <v>0</v>
      </c>
      <c r="O906">
        <f t="shared" si="36"/>
        <v>0</v>
      </c>
    </row>
    <row r="907" spans="12:15">
      <c r="L907">
        <f t="shared" si="37"/>
        <v>0</v>
      </c>
      <c r="O907">
        <f t="shared" si="36"/>
        <v>0</v>
      </c>
    </row>
    <row r="908" spans="12:15">
      <c r="L908">
        <f t="shared" si="37"/>
        <v>0</v>
      </c>
      <c r="O908">
        <f t="shared" si="36"/>
        <v>0</v>
      </c>
    </row>
    <row r="909" spans="12:15">
      <c r="L909">
        <f t="shared" si="37"/>
        <v>0</v>
      </c>
      <c r="O909">
        <f t="shared" si="36"/>
        <v>0</v>
      </c>
    </row>
    <row r="910" spans="12:15">
      <c r="L910">
        <f t="shared" si="37"/>
        <v>0</v>
      </c>
      <c r="O910">
        <f t="shared" si="36"/>
        <v>0</v>
      </c>
    </row>
    <row r="911" spans="12:15">
      <c r="L911">
        <f t="shared" si="37"/>
        <v>0</v>
      </c>
      <c r="O911">
        <f t="shared" si="36"/>
        <v>0</v>
      </c>
    </row>
    <row r="912" spans="12:15">
      <c r="L912">
        <f t="shared" si="37"/>
        <v>0</v>
      </c>
      <c r="O912">
        <f t="shared" si="36"/>
        <v>0</v>
      </c>
    </row>
    <row r="913" spans="12:15">
      <c r="L913">
        <f t="shared" si="37"/>
        <v>0</v>
      </c>
      <c r="O913">
        <f t="shared" si="36"/>
        <v>0</v>
      </c>
    </row>
    <row r="914" spans="12:15">
      <c r="L914">
        <f t="shared" si="37"/>
        <v>0</v>
      </c>
      <c r="O914">
        <f t="shared" si="36"/>
        <v>0</v>
      </c>
    </row>
    <row r="915" spans="12:15">
      <c r="L915">
        <f t="shared" si="37"/>
        <v>0</v>
      </c>
      <c r="O915">
        <f t="shared" si="36"/>
        <v>0</v>
      </c>
    </row>
    <row r="916" spans="12:15">
      <c r="L916">
        <f t="shared" si="37"/>
        <v>0</v>
      </c>
      <c r="O916">
        <f t="shared" si="36"/>
        <v>0</v>
      </c>
    </row>
    <row r="917" spans="12:15">
      <c r="L917">
        <f t="shared" si="37"/>
        <v>0</v>
      </c>
      <c r="O917">
        <f t="shared" si="36"/>
        <v>0</v>
      </c>
    </row>
    <row r="918" spans="12:15">
      <c r="L918">
        <f t="shared" si="37"/>
        <v>0</v>
      </c>
      <c r="O918">
        <f t="shared" si="36"/>
        <v>0</v>
      </c>
    </row>
    <row r="919" spans="12:15">
      <c r="L919">
        <f t="shared" si="37"/>
        <v>0</v>
      </c>
      <c r="O919">
        <f t="shared" si="36"/>
        <v>0</v>
      </c>
    </row>
    <row r="920" spans="12:15">
      <c r="L920">
        <f t="shared" si="37"/>
        <v>0</v>
      </c>
      <c r="O920">
        <f t="shared" si="36"/>
        <v>0</v>
      </c>
    </row>
    <row r="921" spans="12:15">
      <c r="L921">
        <f t="shared" si="37"/>
        <v>0</v>
      </c>
      <c r="O921">
        <f t="shared" si="36"/>
        <v>0</v>
      </c>
    </row>
    <row r="922" spans="12:15">
      <c r="L922">
        <f t="shared" si="37"/>
        <v>0</v>
      </c>
      <c r="O922">
        <f t="shared" si="36"/>
        <v>0</v>
      </c>
    </row>
    <row r="923" spans="12:15">
      <c r="L923">
        <f t="shared" si="37"/>
        <v>0</v>
      </c>
      <c r="O923">
        <f t="shared" si="36"/>
        <v>0</v>
      </c>
    </row>
    <row r="924" spans="12:15">
      <c r="L924">
        <f t="shared" si="37"/>
        <v>0</v>
      </c>
      <c r="O924">
        <f t="shared" si="36"/>
        <v>0</v>
      </c>
    </row>
    <row r="925" spans="12:15">
      <c r="L925">
        <f t="shared" si="37"/>
        <v>0</v>
      </c>
      <c r="O925">
        <f t="shared" si="36"/>
        <v>0</v>
      </c>
    </row>
    <row r="926" spans="12:15">
      <c r="L926">
        <f t="shared" si="37"/>
        <v>0</v>
      </c>
      <c r="O926">
        <f t="shared" si="36"/>
        <v>0</v>
      </c>
    </row>
    <row r="927" spans="12:15">
      <c r="L927">
        <f t="shared" si="37"/>
        <v>0</v>
      </c>
      <c r="O927">
        <f t="shared" si="36"/>
        <v>0</v>
      </c>
    </row>
    <row r="928" spans="12:15">
      <c r="L928">
        <f t="shared" si="37"/>
        <v>0</v>
      </c>
      <c r="O928">
        <f t="shared" si="36"/>
        <v>0</v>
      </c>
    </row>
    <row r="929" spans="12:15">
      <c r="L929">
        <f t="shared" si="37"/>
        <v>0</v>
      </c>
      <c r="O929">
        <f t="shared" si="36"/>
        <v>0</v>
      </c>
    </row>
    <row r="930" spans="12:15">
      <c r="L930">
        <f t="shared" si="37"/>
        <v>0</v>
      </c>
      <c r="O930">
        <f t="shared" si="36"/>
        <v>0</v>
      </c>
    </row>
    <row r="931" spans="12:15">
      <c r="L931">
        <f t="shared" si="37"/>
        <v>0</v>
      </c>
      <c r="O931">
        <f t="shared" si="36"/>
        <v>0</v>
      </c>
    </row>
    <row r="932" spans="12:15">
      <c r="L932">
        <f t="shared" si="37"/>
        <v>0</v>
      </c>
      <c r="O932">
        <f t="shared" si="36"/>
        <v>0</v>
      </c>
    </row>
    <row r="933" spans="12:15">
      <c r="L933">
        <f t="shared" si="37"/>
        <v>0</v>
      </c>
      <c r="O933">
        <f t="shared" si="36"/>
        <v>0</v>
      </c>
    </row>
    <row r="934" spans="12:15">
      <c r="L934">
        <f t="shared" si="37"/>
        <v>0</v>
      </c>
      <c r="O934">
        <f t="shared" si="36"/>
        <v>0</v>
      </c>
    </row>
    <row r="935" spans="12:15">
      <c r="L935">
        <f t="shared" si="37"/>
        <v>0</v>
      </c>
      <c r="O935">
        <f t="shared" si="36"/>
        <v>0</v>
      </c>
    </row>
    <row r="936" spans="12:15">
      <c r="L936">
        <f t="shared" si="37"/>
        <v>0</v>
      </c>
      <c r="O936">
        <f t="shared" si="36"/>
        <v>0</v>
      </c>
    </row>
    <row r="937" spans="12:15">
      <c r="L937">
        <f t="shared" si="37"/>
        <v>0</v>
      </c>
      <c r="O937">
        <f t="shared" si="36"/>
        <v>0</v>
      </c>
    </row>
    <row r="938" spans="12:15">
      <c r="L938">
        <f t="shared" si="37"/>
        <v>0</v>
      </c>
      <c r="O938">
        <f t="shared" si="36"/>
        <v>0</v>
      </c>
    </row>
    <row r="939" spans="12:15">
      <c r="L939">
        <f t="shared" si="37"/>
        <v>0</v>
      </c>
      <c r="O939">
        <f t="shared" si="36"/>
        <v>0</v>
      </c>
    </row>
    <row r="940" spans="12:15">
      <c r="L940">
        <f t="shared" si="37"/>
        <v>0</v>
      </c>
      <c r="O940">
        <f t="shared" si="36"/>
        <v>0</v>
      </c>
    </row>
    <row r="941" spans="12:15">
      <c r="L941">
        <f t="shared" si="37"/>
        <v>0</v>
      </c>
      <c r="O941">
        <f t="shared" si="36"/>
        <v>0</v>
      </c>
    </row>
    <row r="942" spans="12:15">
      <c r="L942">
        <f t="shared" si="37"/>
        <v>0</v>
      </c>
      <c r="O942">
        <f t="shared" si="36"/>
        <v>0</v>
      </c>
    </row>
    <row r="943" spans="12:15">
      <c r="L943">
        <f t="shared" si="37"/>
        <v>0</v>
      </c>
      <c r="O943">
        <f t="shared" si="36"/>
        <v>0</v>
      </c>
    </row>
    <row r="944" spans="12:15">
      <c r="L944">
        <f t="shared" si="37"/>
        <v>0</v>
      </c>
      <c r="O944">
        <f t="shared" si="36"/>
        <v>0</v>
      </c>
    </row>
    <row r="945" spans="12:15">
      <c r="L945">
        <f t="shared" si="37"/>
        <v>0</v>
      </c>
      <c r="O945">
        <f t="shared" si="36"/>
        <v>0</v>
      </c>
    </row>
    <row r="946" spans="12:15">
      <c r="L946">
        <f t="shared" si="37"/>
        <v>0</v>
      </c>
      <c r="O946">
        <f t="shared" si="36"/>
        <v>0</v>
      </c>
    </row>
    <row r="947" spans="12:15">
      <c r="L947">
        <f t="shared" si="37"/>
        <v>0</v>
      </c>
      <c r="O947">
        <f t="shared" si="36"/>
        <v>0</v>
      </c>
    </row>
    <row r="948" spans="12:15">
      <c r="L948">
        <f t="shared" si="37"/>
        <v>0</v>
      </c>
      <c r="O948">
        <f t="shared" si="36"/>
        <v>0</v>
      </c>
    </row>
    <row r="949" spans="12:15">
      <c r="L949">
        <f t="shared" si="37"/>
        <v>0</v>
      </c>
      <c r="O949">
        <f t="shared" si="36"/>
        <v>0</v>
      </c>
    </row>
    <row r="950" spans="12:15">
      <c r="L950">
        <f t="shared" si="37"/>
        <v>0</v>
      </c>
      <c r="O950">
        <f t="shared" si="36"/>
        <v>0</v>
      </c>
    </row>
    <row r="951" spans="12:15">
      <c r="L951">
        <f t="shared" si="37"/>
        <v>0</v>
      </c>
      <c r="O951">
        <f t="shared" si="36"/>
        <v>0</v>
      </c>
    </row>
    <row r="952" spans="12:15">
      <c r="L952">
        <f t="shared" si="37"/>
        <v>0</v>
      </c>
      <c r="O952">
        <f t="shared" si="36"/>
        <v>0</v>
      </c>
    </row>
    <row r="953" spans="12:15">
      <c r="L953">
        <f t="shared" si="37"/>
        <v>0</v>
      </c>
      <c r="O953">
        <f t="shared" si="36"/>
        <v>0</v>
      </c>
    </row>
    <row r="954" spans="12:15">
      <c r="L954">
        <f t="shared" si="37"/>
        <v>0</v>
      </c>
      <c r="O954">
        <f t="shared" si="36"/>
        <v>0</v>
      </c>
    </row>
    <row r="955" spans="12:15">
      <c r="L955">
        <f t="shared" si="37"/>
        <v>0</v>
      </c>
      <c r="O955">
        <f t="shared" si="36"/>
        <v>0</v>
      </c>
    </row>
    <row r="956" spans="12:15">
      <c r="L956">
        <f t="shared" si="37"/>
        <v>0</v>
      </c>
      <c r="O956">
        <f t="shared" si="36"/>
        <v>0</v>
      </c>
    </row>
    <row r="957" spans="12:15">
      <c r="L957">
        <f t="shared" si="37"/>
        <v>0</v>
      </c>
      <c r="O957">
        <f t="shared" si="36"/>
        <v>0</v>
      </c>
    </row>
    <row r="958" spans="12:15">
      <c r="L958">
        <f t="shared" si="37"/>
        <v>0</v>
      </c>
      <c r="O958">
        <f t="shared" si="36"/>
        <v>0</v>
      </c>
    </row>
    <row r="959" spans="12:15">
      <c r="L959">
        <f t="shared" si="37"/>
        <v>0</v>
      </c>
      <c r="O959">
        <f t="shared" si="36"/>
        <v>0</v>
      </c>
    </row>
    <row r="960" spans="12:15">
      <c r="L960">
        <f t="shared" si="37"/>
        <v>0</v>
      </c>
      <c r="O960">
        <f t="shared" si="36"/>
        <v>0</v>
      </c>
    </row>
    <row r="961" spans="12:15">
      <c r="L961">
        <f t="shared" si="37"/>
        <v>0</v>
      </c>
      <c r="O961">
        <f t="shared" si="36"/>
        <v>0</v>
      </c>
    </row>
    <row r="962" spans="12:15">
      <c r="L962">
        <f t="shared" si="37"/>
        <v>0</v>
      </c>
      <c r="O962">
        <f t="shared" si="36"/>
        <v>0</v>
      </c>
    </row>
    <row r="963" spans="12:15">
      <c r="L963">
        <f t="shared" si="37"/>
        <v>0</v>
      </c>
      <c r="O963">
        <f t="shared" si="36"/>
        <v>0</v>
      </c>
    </row>
    <row r="964" spans="12:15">
      <c r="L964">
        <f t="shared" si="37"/>
        <v>0</v>
      </c>
      <c r="O964">
        <f t="shared" si="36"/>
        <v>0</v>
      </c>
    </row>
    <row r="965" spans="12:15">
      <c r="L965">
        <f t="shared" si="37"/>
        <v>0</v>
      </c>
      <c r="O965">
        <f t="shared" si="36"/>
        <v>0</v>
      </c>
    </row>
    <row r="966" spans="12:15">
      <c r="L966">
        <f t="shared" si="37"/>
        <v>0</v>
      </c>
      <c r="O966">
        <f t="shared" ref="O966:O1029" si="38">L966-M966-N966</f>
        <v>0</v>
      </c>
    </row>
    <row r="967" spans="12:15">
      <c r="L967">
        <f t="shared" si="37"/>
        <v>0</v>
      </c>
      <c r="O967">
        <f t="shared" si="38"/>
        <v>0</v>
      </c>
    </row>
    <row r="968" spans="12:15">
      <c r="L968">
        <f t="shared" ref="L968:L1031" si="39">I968-J968-K968</f>
        <v>0</v>
      </c>
      <c r="O968">
        <f t="shared" si="38"/>
        <v>0</v>
      </c>
    </row>
    <row r="969" spans="12:15">
      <c r="L969">
        <f t="shared" si="39"/>
        <v>0</v>
      </c>
      <c r="O969">
        <f t="shared" si="38"/>
        <v>0</v>
      </c>
    </row>
    <row r="970" spans="12:15">
      <c r="L970">
        <f t="shared" si="39"/>
        <v>0</v>
      </c>
      <c r="O970">
        <f t="shared" si="38"/>
        <v>0</v>
      </c>
    </row>
    <row r="971" spans="12:15">
      <c r="L971">
        <f t="shared" si="39"/>
        <v>0</v>
      </c>
      <c r="O971">
        <f t="shared" si="38"/>
        <v>0</v>
      </c>
    </row>
    <row r="972" spans="12:15">
      <c r="L972">
        <f t="shared" si="39"/>
        <v>0</v>
      </c>
      <c r="O972">
        <f t="shared" si="38"/>
        <v>0</v>
      </c>
    </row>
    <row r="973" spans="12:15">
      <c r="L973">
        <f t="shared" si="39"/>
        <v>0</v>
      </c>
      <c r="O973">
        <f t="shared" si="38"/>
        <v>0</v>
      </c>
    </row>
    <row r="974" spans="12:15">
      <c r="L974">
        <f t="shared" si="39"/>
        <v>0</v>
      </c>
      <c r="O974">
        <f t="shared" si="38"/>
        <v>0</v>
      </c>
    </row>
    <row r="975" spans="12:15">
      <c r="L975">
        <f t="shared" si="39"/>
        <v>0</v>
      </c>
      <c r="O975">
        <f t="shared" si="38"/>
        <v>0</v>
      </c>
    </row>
    <row r="976" spans="12:15">
      <c r="L976">
        <f t="shared" si="39"/>
        <v>0</v>
      </c>
      <c r="O976">
        <f t="shared" si="38"/>
        <v>0</v>
      </c>
    </row>
    <row r="977" spans="12:15">
      <c r="L977">
        <f t="shared" si="39"/>
        <v>0</v>
      </c>
      <c r="O977">
        <f t="shared" si="38"/>
        <v>0</v>
      </c>
    </row>
    <row r="978" spans="12:15">
      <c r="L978">
        <f t="shared" si="39"/>
        <v>0</v>
      </c>
      <c r="O978">
        <f t="shared" si="38"/>
        <v>0</v>
      </c>
    </row>
    <row r="979" spans="12:15">
      <c r="L979">
        <f t="shared" si="39"/>
        <v>0</v>
      </c>
      <c r="O979">
        <f t="shared" si="38"/>
        <v>0</v>
      </c>
    </row>
    <row r="980" spans="12:15">
      <c r="L980">
        <f t="shared" si="39"/>
        <v>0</v>
      </c>
      <c r="O980">
        <f t="shared" si="38"/>
        <v>0</v>
      </c>
    </row>
    <row r="981" spans="12:15">
      <c r="L981">
        <f t="shared" si="39"/>
        <v>0</v>
      </c>
      <c r="O981">
        <f t="shared" si="38"/>
        <v>0</v>
      </c>
    </row>
    <row r="982" spans="12:15">
      <c r="L982">
        <f t="shared" si="39"/>
        <v>0</v>
      </c>
      <c r="O982">
        <f t="shared" si="38"/>
        <v>0</v>
      </c>
    </row>
    <row r="983" spans="12:15">
      <c r="L983">
        <f t="shared" si="39"/>
        <v>0</v>
      </c>
      <c r="O983">
        <f t="shared" si="38"/>
        <v>0</v>
      </c>
    </row>
    <row r="984" spans="12:15">
      <c r="L984">
        <f t="shared" si="39"/>
        <v>0</v>
      </c>
      <c r="O984">
        <f t="shared" si="38"/>
        <v>0</v>
      </c>
    </row>
    <row r="985" spans="12:15">
      <c r="L985">
        <f t="shared" si="39"/>
        <v>0</v>
      </c>
      <c r="O985">
        <f t="shared" si="38"/>
        <v>0</v>
      </c>
    </row>
    <row r="986" spans="12:15">
      <c r="L986">
        <f t="shared" si="39"/>
        <v>0</v>
      </c>
      <c r="O986">
        <f t="shared" si="38"/>
        <v>0</v>
      </c>
    </row>
    <row r="987" spans="12:15">
      <c r="L987">
        <f t="shared" si="39"/>
        <v>0</v>
      </c>
      <c r="O987">
        <f t="shared" si="38"/>
        <v>0</v>
      </c>
    </row>
    <row r="988" spans="12:15">
      <c r="L988">
        <f t="shared" si="39"/>
        <v>0</v>
      </c>
      <c r="O988">
        <f t="shared" si="38"/>
        <v>0</v>
      </c>
    </row>
    <row r="989" spans="12:15">
      <c r="L989">
        <f t="shared" si="39"/>
        <v>0</v>
      </c>
      <c r="O989">
        <f t="shared" si="38"/>
        <v>0</v>
      </c>
    </row>
    <row r="990" spans="12:15">
      <c r="L990">
        <f t="shared" si="39"/>
        <v>0</v>
      </c>
      <c r="O990">
        <f t="shared" si="38"/>
        <v>0</v>
      </c>
    </row>
    <row r="991" spans="12:15">
      <c r="L991">
        <f t="shared" si="39"/>
        <v>0</v>
      </c>
      <c r="O991">
        <f t="shared" si="38"/>
        <v>0</v>
      </c>
    </row>
    <row r="992" spans="12:15">
      <c r="L992">
        <f t="shared" si="39"/>
        <v>0</v>
      </c>
      <c r="O992">
        <f t="shared" si="38"/>
        <v>0</v>
      </c>
    </row>
    <row r="993" spans="12:15">
      <c r="L993">
        <f t="shared" si="39"/>
        <v>0</v>
      </c>
      <c r="O993">
        <f t="shared" si="38"/>
        <v>0</v>
      </c>
    </row>
    <row r="994" spans="12:15">
      <c r="L994">
        <f t="shared" si="39"/>
        <v>0</v>
      </c>
      <c r="O994">
        <f t="shared" si="38"/>
        <v>0</v>
      </c>
    </row>
    <row r="995" spans="12:15">
      <c r="L995">
        <f t="shared" si="39"/>
        <v>0</v>
      </c>
      <c r="O995">
        <f t="shared" si="38"/>
        <v>0</v>
      </c>
    </row>
    <row r="996" spans="12:15">
      <c r="L996">
        <f t="shared" si="39"/>
        <v>0</v>
      </c>
      <c r="O996">
        <f t="shared" si="38"/>
        <v>0</v>
      </c>
    </row>
    <row r="997" spans="12:15">
      <c r="L997">
        <f t="shared" si="39"/>
        <v>0</v>
      </c>
      <c r="O997">
        <f t="shared" si="38"/>
        <v>0</v>
      </c>
    </row>
    <row r="998" spans="12:15">
      <c r="L998">
        <f t="shared" si="39"/>
        <v>0</v>
      </c>
      <c r="O998">
        <f t="shared" si="38"/>
        <v>0</v>
      </c>
    </row>
    <row r="999" spans="12:15">
      <c r="L999">
        <f t="shared" si="39"/>
        <v>0</v>
      </c>
      <c r="O999">
        <f t="shared" si="38"/>
        <v>0</v>
      </c>
    </row>
    <row r="1000" spans="12:15">
      <c r="L1000">
        <f t="shared" si="39"/>
        <v>0</v>
      </c>
      <c r="O1000">
        <f t="shared" si="38"/>
        <v>0</v>
      </c>
    </row>
    <row r="1001" spans="12:15">
      <c r="L1001">
        <f t="shared" si="39"/>
        <v>0</v>
      </c>
      <c r="O1001">
        <f t="shared" si="38"/>
        <v>0</v>
      </c>
    </row>
    <row r="1002" spans="12:15">
      <c r="L1002">
        <f t="shared" si="39"/>
        <v>0</v>
      </c>
      <c r="O1002">
        <f t="shared" si="38"/>
        <v>0</v>
      </c>
    </row>
    <row r="1003" spans="12:15">
      <c r="L1003">
        <f t="shared" si="39"/>
        <v>0</v>
      </c>
      <c r="O1003">
        <f t="shared" si="38"/>
        <v>0</v>
      </c>
    </row>
    <row r="1004" spans="12:15">
      <c r="L1004">
        <f t="shared" si="39"/>
        <v>0</v>
      </c>
      <c r="O1004">
        <f t="shared" si="38"/>
        <v>0</v>
      </c>
    </row>
    <row r="1005" spans="12:15">
      <c r="L1005">
        <f t="shared" si="39"/>
        <v>0</v>
      </c>
      <c r="O1005">
        <f t="shared" si="38"/>
        <v>0</v>
      </c>
    </row>
    <row r="1006" spans="12:15">
      <c r="L1006">
        <f t="shared" si="39"/>
        <v>0</v>
      </c>
      <c r="O1006">
        <f t="shared" si="38"/>
        <v>0</v>
      </c>
    </row>
    <row r="1007" spans="12:15">
      <c r="L1007">
        <f t="shared" si="39"/>
        <v>0</v>
      </c>
      <c r="O1007">
        <f t="shared" si="38"/>
        <v>0</v>
      </c>
    </row>
    <row r="1008" spans="12:15">
      <c r="L1008">
        <f t="shared" si="39"/>
        <v>0</v>
      </c>
      <c r="O1008">
        <f t="shared" si="38"/>
        <v>0</v>
      </c>
    </row>
    <row r="1009" spans="12:15">
      <c r="L1009">
        <f t="shared" si="39"/>
        <v>0</v>
      </c>
      <c r="O1009">
        <f t="shared" si="38"/>
        <v>0</v>
      </c>
    </row>
    <row r="1010" spans="12:15">
      <c r="L1010">
        <f t="shared" si="39"/>
        <v>0</v>
      </c>
      <c r="O1010">
        <f t="shared" si="38"/>
        <v>0</v>
      </c>
    </row>
    <row r="1011" spans="12:15">
      <c r="L1011">
        <f t="shared" si="39"/>
        <v>0</v>
      </c>
      <c r="O1011">
        <f t="shared" si="38"/>
        <v>0</v>
      </c>
    </row>
    <row r="1012" spans="12:15">
      <c r="L1012">
        <f t="shared" si="39"/>
        <v>0</v>
      </c>
      <c r="O1012">
        <f t="shared" si="38"/>
        <v>0</v>
      </c>
    </row>
    <row r="1013" spans="12:15">
      <c r="L1013">
        <f t="shared" si="39"/>
        <v>0</v>
      </c>
      <c r="O1013">
        <f t="shared" si="38"/>
        <v>0</v>
      </c>
    </row>
    <row r="1014" spans="12:15">
      <c r="L1014">
        <f t="shared" si="39"/>
        <v>0</v>
      </c>
      <c r="O1014">
        <f t="shared" si="38"/>
        <v>0</v>
      </c>
    </row>
    <row r="1015" spans="12:15">
      <c r="L1015">
        <f t="shared" si="39"/>
        <v>0</v>
      </c>
      <c r="O1015">
        <f t="shared" si="38"/>
        <v>0</v>
      </c>
    </row>
    <row r="1016" spans="12:15">
      <c r="L1016">
        <f t="shared" si="39"/>
        <v>0</v>
      </c>
      <c r="O1016">
        <f t="shared" si="38"/>
        <v>0</v>
      </c>
    </row>
    <row r="1017" spans="12:15">
      <c r="L1017">
        <f t="shared" si="39"/>
        <v>0</v>
      </c>
      <c r="O1017">
        <f t="shared" si="38"/>
        <v>0</v>
      </c>
    </row>
    <row r="1018" spans="12:15">
      <c r="L1018">
        <f t="shared" si="39"/>
        <v>0</v>
      </c>
      <c r="O1018">
        <f t="shared" si="38"/>
        <v>0</v>
      </c>
    </row>
    <row r="1019" spans="12:15">
      <c r="L1019">
        <f t="shared" si="39"/>
        <v>0</v>
      </c>
      <c r="O1019">
        <f t="shared" si="38"/>
        <v>0</v>
      </c>
    </row>
    <row r="1020" spans="12:15">
      <c r="L1020">
        <f t="shared" si="39"/>
        <v>0</v>
      </c>
      <c r="O1020">
        <f t="shared" si="38"/>
        <v>0</v>
      </c>
    </row>
    <row r="1021" spans="12:15">
      <c r="L1021">
        <f t="shared" si="39"/>
        <v>0</v>
      </c>
      <c r="O1021">
        <f t="shared" si="38"/>
        <v>0</v>
      </c>
    </row>
    <row r="1022" spans="12:15">
      <c r="L1022">
        <f t="shared" si="39"/>
        <v>0</v>
      </c>
      <c r="O1022">
        <f t="shared" si="38"/>
        <v>0</v>
      </c>
    </row>
    <row r="1023" spans="12:15">
      <c r="L1023">
        <f t="shared" si="39"/>
        <v>0</v>
      </c>
      <c r="O1023">
        <f t="shared" si="38"/>
        <v>0</v>
      </c>
    </row>
    <row r="1024" spans="12:15">
      <c r="L1024">
        <f t="shared" si="39"/>
        <v>0</v>
      </c>
      <c r="O1024">
        <f t="shared" si="38"/>
        <v>0</v>
      </c>
    </row>
    <row r="1025" spans="12:15">
      <c r="L1025">
        <f t="shared" si="39"/>
        <v>0</v>
      </c>
      <c r="O1025">
        <f t="shared" si="38"/>
        <v>0</v>
      </c>
    </row>
    <row r="1026" spans="12:15">
      <c r="L1026">
        <f t="shared" si="39"/>
        <v>0</v>
      </c>
      <c r="O1026">
        <f t="shared" si="38"/>
        <v>0</v>
      </c>
    </row>
    <row r="1027" spans="12:15">
      <c r="L1027">
        <f t="shared" si="39"/>
        <v>0</v>
      </c>
      <c r="O1027">
        <f t="shared" si="38"/>
        <v>0</v>
      </c>
    </row>
    <row r="1028" spans="12:15">
      <c r="L1028">
        <f t="shared" si="39"/>
        <v>0</v>
      </c>
      <c r="O1028">
        <f t="shared" si="38"/>
        <v>0</v>
      </c>
    </row>
    <row r="1029" spans="12:15">
      <c r="L1029">
        <f t="shared" si="39"/>
        <v>0</v>
      </c>
      <c r="O1029">
        <f t="shared" si="38"/>
        <v>0</v>
      </c>
    </row>
    <row r="1030" spans="12:15">
      <c r="L1030">
        <f t="shared" si="39"/>
        <v>0</v>
      </c>
      <c r="O1030">
        <f t="shared" ref="O1030:O1093" si="40">L1030-M1030-N1030</f>
        <v>0</v>
      </c>
    </row>
    <row r="1031" spans="12:15">
      <c r="L1031">
        <f t="shared" si="39"/>
        <v>0</v>
      </c>
      <c r="O1031">
        <f t="shared" si="40"/>
        <v>0</v>
      </c>
    </row>
    <row r="1032" spans="12:15">
      <c r="L1032">
        <f t="shared" ref="L1032:L1095" si="41">I1032-J1032-K1032</f>
        <v>0</v>
      </c>
      <c r="O1032">
        <f t="shared" si="40"/>
        <v>0</v>
      </c>
    </row>
    <row r="1033" spans="12:15">
      <c r="L1033">
        <f t="shared" si="41"/>
        <v>0</v>
      </c>
      <c r="O1033">
        <f t="shared" si="40"/>
        <v>0</v>
      </c>
    </row>
    <row r="1034" spans="12:15">
      <c r="L1034">
        <f t="shared" si="41"/>
        <v>0</v>
      </c>
      <c r="O1034">
        <f t="shared" si="40"/>
        <v>0</v>
      </c>
    </row>
    <row r="1035" spans="12:15">
      <c r="L1035">
        <f t="shared" si="41"/>
        <v>0</v>
      </c>
      <c r="O1035">
        <f t="shared" si="40"/>
        <v>0</v>
      </c>
    </row>
    <row r="1036" spans="12:15">
      <c r="L1036">
        <f t="shared" si="41"/>
        <v>0</v>
      </c>
      <c r="O1036">
        <f t="shared" si="40"/>
        <v>0</v>
      </c>
    </row>
    <row r="1037" spans="12:15">
      <c r="L1037">
        <f t="shared" si="41"/>
        <v>0</v>
      </c>
      <c r="O1037">
        <f t="shared" si="40"/>
        <v>0</v>
      </c>
    </row>
    <row r="1038" spans="12:15">
      <c r="L1038">
        <f t="shared" si="41"/>
        <v>0</v>
      </c>
      <c r="O1038">
        <f t="shared" si="40"/>
        <v>0</v>
      </c>
    </row>
    <row r="1039" spans="12:15">
      <c r="L1039">
        <f t="shared" si="41"/>
        <v>0</v>
      </c>
      <c r="O1039">
        <f t="shared" si="40"/>
        <v>0</v>
      </c>
    </row>
    <row r="1040" spans="12:15">
      <c r="L1040">
        <f t="shared" si="41"/>
        <v>0</v>
      </c>
      <c r="O1040">
        <f t="shared" si="40"/>
        <v>0</v>
      </c>
    </row>
    <row r="1041" spans="12:15">
      <c r="L1041">
        <f t="shared" si="41"/>
        <v>0</v>
      </c>
      <c r="O1041">
        <f t="shared" si="40"/>
        <v>0</v>
      </c>
    </row>
    <row r="1042" spans="12:15">
      <c r="L1042">
        <f t="shared" si="41"/>
        <v>0</v>
      </c>
      <c r="O1042">
        <f t="shared" si="40"/>
        <v>0</v>
      </c>
    </row>
    <row r="1043" spans="12:15">
      <c r="L1043">
        <f t="shared" si="41"/>
        <v>0</v>
      </c>
      <c r="O1043">
        <f t="shared" si="40"/>
        <v>0</v>
      </c>
    </row>
    <row r="1044" spans="12:15">
      <c r="L1044">
        <f t="shared" si="41"/>
        <v>0</v>
      </c>
      <c r="O1044">
        <f t="shared" si="40"/>
        <v>0</v>
      </c>
    </row>
    <row r="1045" spans="12:15">
      <c r="L1045">
        <f t="shared" si="41"/>
        <v>0</v>
      </c>
      <c r="O1045">
        <f t="shared" si="40"/>
        <v>0</v>
      </c>
    </row>
    <row r="1046" spans="12:15">
      <c r="L1046">
        <f t="shared" si="41"/>
        <v>0</v>
      </c>
      <c r="O1046">
        <f t="shared" si="40"/>
        <v>0</v>
      </c>
    </row>
    <row r="1047" spans="12:15">
      <c r="L1047">
        <f t="shared" si="41"/>
        <v>0</v>
      </c>
      <c r="O1047">
        <f t="shared" si="40"/>
        <v>0</v>
      </c>
    </row>
    <row r="1048" spans="12:15">
      <c r="L1048">
        <f t="shared" si="41"/>
        <v>0</v>
      </c>
      <c r="O1048">
        <f t="shared" si="40"/>
        <v>0</v>
      </c>
    </row>
    <row r="1049" spans="12:15">
      <c r="L1049">
        <f t="shared" si="41"/>
        <v>0</v>
      </c>
      <c r="O1049">
        <f t="shared" si="40"/>
        <v>0</v>
      </c>
    </row>
    <row r="1050" spans="12:15">
      <c r="L1050">
        <f t="shared" si="41"/>
        <v>0</v>
      </c>
      <c r="O1050">
        <f t="shared" si="40"/>
        <v>0</v>
      </c>
    </row>
    <row r="1051" spans="12:15">
      <c r="L1051">
        <f t="shared" si="41"/>
        <v>0</v>
      </c>
      <c r="O1051">
        <f t="shared" si="40"/>
        <v>0</v>
      </c>
    </row>
    <row r="1052" spans="12:15">
      <c r="L1052">
        <f t="shared" si="41"/>
        <v>0</v>
      </c>
      <c r="O1052">
        <f t="shared" si="40"/>
        <v>0</v>
      </c>
    </row>
    <row r="1053" spans="12:15">
      <c r="L1053">
        <f t="shared" si="41"/>
        <v>0</v>
      </c>
      <c r="O1053">
        <f t="shared" si="40"/>
        <v>0</v>
      </c>
    </row>
    <row r="1054" spans="12:15">
      <c r="L1054">
        <f t="shared" si="41"/>
        <v>0</v>
      </c>
      <c r="O1054">
        <f t="shared" si="40"/>
        <v>0</v>
      </c>
    </row>
    <row r="1055" spans="12:15">
      <c r="L1055">
        <f t="shared" si="41"/>
        <v>0</v>
      </c>
      <c r="O1055">
        <f t="shared" si="40"/>
        <v>0</v>
      </c>
    </row>
    <row r="1056" spans="12:15">
      <c r="L1056">
        <f t="shared" si="41"/>
        <v>0</v>
      </c>
      <c r="O1056">
        <f t="shared" si="40"/>
        <v>0</v>
      </c>
    </row>
    <row r="1057" spans="12:15">
      <c r="L1057">
        <f t="shared" si="41"/>
        <v>0</v>
      </c>
      <c r="O1057">
        <f t="shared" si="40"/>
        <v>0</v>
      </c>
    </row>
    <row r="1058" spans="12:15">
      <c r="L1058">
        <f t="shared" si="41"/>
        <v>0</v>
      </c>
      <c r="O1058">
        <f t="shared" si="40"/>
        <v>0</v>
      </c>
    </row>
    <row r="1059" spans="12:15">
      <c r="L1059">
        <f t="shared" si="41"/>
        <v>0</v>
      </c>
      <c r="O1059">
        <f t="shared" si="40"/>
        <v>0</v>
      </c>
    </row>
    <row r="1060" spans="12:15">
      <c r="L1060">
        <f t="shared" si="41"/>
        <v>0</v>
      </c>
      <c r="O1060">
        <f t="shared" si="40"/>
        <v>0</v>
      </c>
    </row>
    <row r="1061" spans="12:15">
      <c r="L1061">
        <f t="shared" si="41"/>
        <v>0</v>
      </c>
      <c r="O1061">
        <f t="shared" si="40"/>
        <v>0</v>
      </c>
    </row>
    <row r="1062" spans="12:15">
      <c r="L1062">
        <f t="shared" si="41"/>
        <v>0</v>
      </c>
      <c r="O1062">
        <f t="shared" si="40"/>
        <v>0</v>
      </c>
    </row>
    <row r="1063" spans="12:15">
      <c r="L1063">
        <f t="shared" si="41"/>
        <v>0</v>
      </c>
      <c r="O1063">
        <f t="shared" si="40"/>
        <v>0</v>
      </c>
    </row>
    <row r="1064" spans="12:15">
      <c r="L1064">
        <f t="shared" si="41"/>
        <v>0</v>
      </c>
      <c r="O1064">
        <f t="shared" si="40"/>
        <v>0</v>
      </c>
    </row>
    <row r="1065" spans="12:15">
      <c r="L1065">
        <f t="shared" si="41"/>
        <v>0</v>
      </c>
      <c r="O1065">
        <f t="shared" si="40"/>
        <v>0</v>
      </c>
    </row>
    <row r="1066" spans="12:15">
      <c r="L1066">
        <f t="shared" si="41"/>
        <v>0</v>
      </c>
      <c r="O1066">
        <f t="shared" si="40"/>
        <v>0</v>
      </c>
    </row>
    <row r="1067" spans="12:15">
      <c r="L1067">
        <f t="shared" si="41"/>
        <v>0</v>
      </c>
      <c r="O1067">
        <f t="shared" si="40"/>
        <v>0</v>
      </c>
    </row>
    <row r="1068" spans="12:15">
      <c r="L1068">
        <f t="shared" si="41"/>
        <v>0</v>
      </c>
      <c r="O1068">
        <f t="shared" si="40"/>
        <v>0</v>
      </c>
    </row>
    <row r="1069" spans="12:15">
      <c r="L1069">
        <f t="shared" si="41"/>
        <v>0</v>
      </c>
      <c r="O1069">
        <f t="shared" si="40"/>
        <v>0</v>
      </c>
    </row>
    <row r="1070" spans="12:15">
      <c r="L1070">
        <f t="shared" si="41"/>
        <v>0</v>
      </c>
      <c r="O1070">
        <f t="shared" si="40"/>
        <v>0</v>
      </c>
    </row>
    <row r="1071" spans="12:15">
      <c r="L1071">
        <f t="shared" si="41"/>
        <v>0</v>
      </c>
      <c r="O1071">
        <f t="shared" si="40"/>
        <v>0</v>
      </c>
    </row>
    <row r="1072" spans="12:15">
      <c r="L1072">
        <f t="shared" si="41"/>
        <v>0</v>
      </c>
      <c r="O1072">
        <f t="shared" si="40"/>
        <v>0</v>
      </c>
    </row>
    <row r="1073" spans="12:15">
      <c r="L1073">
        <f t="shared" si="41"/>
        <v>0</v>
      </c>
      <c r="O1073">
        <f t="shared" si="40"/>
        <v>0</v>
      </c>
    </row>
    <row r="1074" spans="12:15">
      <c r="L1074">
        <f t="shared" si="41"/>
        <v>0</v>
      </c>
      <c r="O1074">
        <f t="shared" si="40"/>
        <v>0</v>
      </c>
    </row>
    <row r="1075" spans="12:15">
      <c r="L1075">
        <f t="shared" si="41"/>
        <v>0</v>
      </c>
      <c r="O1075">
        <f t="shared" si="40"/>
        <v>0</v>
      </c>
    </row>
    <row r="1076" spans="12:15">
      <c r="L1076">
        <f t="shared" si="41"/>
        <v>0</v>
      </c>
      <c r="O1076">
        <f t="shared" si="40"/>
        <v>0</v>
      </c>
    </row>
    <row r="1077" spans="12:15">
      <c r="L1077">
        <f t="shared" si="41"/>
        <v>0</v>
      </c>
      <c r="O1077">
        <f t="shared" si="40"/>
        <v>0</v>
      </c>
    </row>
    <row r="1078" spans="12:15">
      <c r="L1078">
        <f t="shared" si="41"/>
        <v>0</v>
      </c>
      <c r="O1078">
        <f t="shared" si="40"/>
        <v>0</v>
      </c>
    </row>
    <row r="1079" spans="12:15">
      <c r="L1079">
        <f t="shared" si="41"/>
        <v>0</v>
      </c>
      <c r="O1079">
        <f t="shared" si="40"/>
        <v>0</v>
      </c>
    </row>
    <row r="1080" spans="12:15">
      <c r="L1080">
        <f t="shared" si="41"/>
        <v>0</v>
      </c>
      <c r="O1080">
        <f t="shared" si="40"/>
        <v>0</v>
      </c>
    </row>
    <row r="1081" spans="12:15">
      <c r="L1081">
        <f t="shared" si="41"/>
        <v>0</v>
      </c>
      <c r="O1081">
        <f t="shared" si="40"/>
        <v>0</v>
      </c>
    </row>
    <row r="1082" spans="12:15">
      <c r="L1082">
        <f t="shared" si="41"/>
        <v>0</v>
      </c>
      <c r="O1082">
        <f t="shared" si="40"/>
        <v>0</v>
      </c>
    </row>
    <row r="1083" spans="12:15">
      <c r="L1083">
        <f t="shared" si="41"/>
        <v>0</v>
      </c>
      <c r="O1083">
        <f t="shared" si="40"/>
        <v>0</v>
      </c>
    </row>
    <row r="1084" spans="12:15">
      <c r="L1084">
        <f t="shared" si="41"/>
        <v>0</v>
      </c>
      <c r="O1084">
        <f t="shared" si="40"/>
        <v>0</v>
      </c>
    </row>
    <row r="1085" spans="12:15">
      <c r="L1085">
        <f t="shared" si="41"/>
        <v>0</v>
      </c>
      <c r="O1085">
        <f t="shared" si="40"/>
        <v>0</v>
      </c>
    </row>
    <row r="1086" spans="12:15">
      <c r="L1086">
        <f t="shared" si="41"/>
        <v>0</v>
      </c>
      <c r="O1086">
        <f t="shared" si="40"/>
        <v>0</v>
      </c>
    </row>
    <row r="1087" spans="12:15">
      <c r="L1087">
        <f t="shared" si="41"/>
        <v>0</v>
      </c>
      <c r="O1087">
        <f t="shared" si="40"/>
        <v>0</v>
      </c>
    </row>
    <row r="1088" spans="12:15">
      <c r="L1088">
        <f t="shared" si="41"/>
        <v>0</v>
      </c>
      <c r="O1088">
        <f t="shared" si="40"/>
        <v>0</v>
      </c>
    </row>
    <row r="1089" spans="12:15">
      <c r="L1089">
        <f t="shared" si="41"/>
        <v>0</v>
      </c>
      <c r="O1089">
        <f t="shared" si="40"/>
        <v>0</v>
      </c>
    </row>
    <row r="1090" spans="12:15">
      <c r="L1090">
        <f t="shared" si="41"/>
        <v>0</v>
      </c>
      <c r="O1090">
        <f t="shared" si="40"/>
        <v>0</v>
      </c>
    </row>
    <row r="1091" spans="12:15">
      <c r="L1091">
        <f t="shared" si="41"/>
        <v>0</v>
      </c>
      <c r="O1091">
        <f t="shared" si="40"/>
        <v>0</v>
      </c>
    </row>
    <row r="1092" spans="12:15">
      <c r="L1092">
        <f t="shared" si="41"/>
        <v>0</v>
      </c>
      <c r="O1092">
        <f t="shared" si="40"/>
        <v>0</v>
      </c>
    </row>
    <row r="1093" spans="12:15">
      <c r="L1093">
        <f t="shared" si="41"/>
        <v>0</v>
      </c>
      <c r="O1093">
        <f t="shared" si="40"/>
        <v>0</v>
      </c>
    </row>
    <row r="1094" spans="12:15">
      <c r="L1094">
        <f t="shared" si="41"/>
        <v>0</v>
      </c>
      <c r="O1094">
        <f t="shared" ref="O1094:O1100" si="42">L1094-M1094-N1094</f>
        <v>0</v>
      </c>
    </row>
    <row r="1095" spans="12:15">
      <c r="L1095">
        <f t="shared" si="41"/>
        <v>0</v>
      </c>
      <c r="O1095">
        <f t="shared" si="42"/>
        <v>0</v>
      </c>
    </row>
    <row r="1096" spans="12:15">
      <c r="L1096">
        <f t="shared" ref="L1096:L1159" si="43">I1096-J1096-K1096</f>
        <v>0</v>
      </c>
      <c r="O1096">
        <f t="shared" si="42"/>
        <v>0</v>
      </c>
    </row>
    <row r="1097" spans="12:15">
      <c r="L1097">
        <f t="shared" si="43"/>
        <v>0</v>
      </c>
      <c r="O1097">
        <f t="shared" si="42"/>
        <v>0</v>
      </c>
    </row>
    <row r="1098" spans="12:15">
      <c r="L1098">
        <f t="shared" si="43"/>
        <v>0</v>
      </c>
      <c r="O1098">
        <f t="shared" si="42"/>
        <v>0</v>
      </c>
    </row>
    <row r="1099" spans="12:15">
      <c r="L1099">
        <f t="shared" si="43"/>
        <v>0</v>
      </c>
      <c r="O1099">
        <f t="shared" si="42"/>
        <v>0</v>
      </c>
    </row>
    <row r="1100" spans="12:15">
      <c r="L1100">
        <f t="shared" si="43"/>
        <v>0</v>
      </c>
      <c r="O1100">
        <f t="shared" si="42"/>
        <v>0</v>
      </c>
    </row>
    <row r="1101" spans="12:15">
      <c r="L1101">
        <f t="shared" si="43"/>
        <v>0</v>
      </c>
    </row>
    <row r="1102" spans="12:15">
      <c r="L1102">
        <f t="shared" si="43"/>
        <v>0</v>
      </c>
    </row>
    <row r="1103" spans="12:15">
      <c r="L1103">
        <f t="shared" si="43"/>
        <v>0</v>
      </c>
    </row>
    <row r="1104" spans="12:15">
      <c r="L1104">
        <f t="shared" si="43"/>
        <v>0</v>
      </c>
    </row>
    <row r="1105" spans="12:12">
      <c r="L1105">
        <f t="shared" si="43"/>
        <v>0</v>
      </c>
    </row>
    <row r="1106" spans="12:12">
      <c r="L1106">
        <f t="shared" si="43"/>
        <v>0</v>
      </c>
    </row>
    <row r="1107" spans="12:12">
      <c r="L1107">
        <f t="shared" si="43"/>
        <v>0</v>
      </c>
    </row>
    <row r="1108" spans="12:12">
      <c r="L1108">
        <f t="shared" si="43"/>
        <v>0</v>
      </c>
    </row>
    <row r="1109" spans="12:12">
      <c r="L1109">
        <f t="shared" si="43"/>
        <v>0</v>
      </c>
    </row>
    <row r="1110" spans="12:12">
      <c r="L1110">
        <f t="shared" si="43"/>
        <v>0</v>
      </c>
    </row>
    <row r="1111" spans="12:12">
      <c r="L1111">
        <f t="shared" si="43"/>
        <v>0</v>
      </c>
    </row>
    <row r="1112" spans="12:12">
      <c r="L1112">
        <f t="shared" si="43"/>
        <v>0</v>
      </c>
    </row>
    <row r="1113" spans="12:12">
      <c r="L1113">
        <f t="shared" si="43"/>
        <v>0</v>
      </c>
    </row>
    <row r="1114" spans="12:12">
      <c r="L1114">
        <f t="shared" si="43"/>
        <v>0</v>
      </c>
    </row>
    <row r="1115" spans="12:12">
      <c r="L1115">
        <f t="shared" si="43"/>
        <v>0</v>
      </c>
    </row>
    <row r="1116" spans="12:12">
      <c r="L1116">
        <f t="shared" si="43"/>
        <v>0</v>
      </c>
    </row>
    <row r="1117" spans="12:12">
      <c r="L1117">
        <f t="shared" si="43"/>
        <v>0</v>
      </c>
    </row>
    <row r="1118" spans="12:12">
      <c r="L1118">
        <f t="shared" si="43"/>
        <v>0</v>
      </c>
    </row>
    <row r="1119" spans="12:12">
      <c r="L1119">
        <f t="shared" si="43"/>
        <v>0</v>
      </c>
    </row>
    <row r="1120" spans="12:12">
      <c r="L1120">
        <f t="shared" si="43"/>
        <v>0</v>
      </c>
    </row>
    <row r="1121" spans="12:12">
      <c r="L1121">
        <f t="shared" si="43"/>
        <v>0</v>
      </c>
    </row>
    <row r="1122" spans="12:12">
      <c r="L1122">
        <f t="shared" si="43"/>
        <v>0</v>
      </c>
    </row>
    <row r="1123" spans="12:12">
      <c r="L1123">
        <f t="shared" si="43"/>
        <v>0</v>
      </c>
    </row>
    <row r="1124" spans="12:12">
      <c r="L1124">
        <f t="shared" si="43"/>
        <v>0</v>
      </c>
    </row>
    <row r="1125" spans="12:12">
      <c r="L1125">
        <f t="shared" si="43"/>
        <v>0</v>
      </c>
    </row>
    <row r="1126" spans="12:12">
      <c r="L1126">
        <f t="shared" si="43"/>
        <v>0</v>
      </c>
    </row>
    <row r="1127" spans="12:12">
      <c r="L1127">
        <f t="shared" si="43"/>
        <v>0</v>
      </c>
    </row>
    <row r="1128" spans="12:12">
      <c r="L1128">
        <f t="shared" si="43"/>
        <v>0</v>
      </c>
    </row>
    <row r="1129" spans="12:12">
      <c r="L1129">
        <f t="shared" si="43"/>
        <v>0</v>
      </c>
    </row>
    <row r="1130" spans="12:12">
      <c r="L1130">
        <f t="shared" si="43"/>
        <v>0</v>
      </c>
    </row>
    <row r="1131" spans="12:12">
      <c r="L1131">
        <f t="shared" si="43"/>
        <v>0</v>
      </c>
    </row>
    <row r="1132" spans="12:12">
      <c r="L1132">
        <f t="shared" si="43"/>
        <v>0</v>
      </c>
    </row>
    <row r="1133" spans="12:12">
      <c r="L1133">
        <f t="shared" si="43"/>
        <v>0</v>
      </c>
    </row>
    <row r="1134" spans="12:12">
      <c r="L1134">
        <f t="shared" si="43"/>
        <v>0</v>
      </c>
    </row>
    <row r="1135" spans="12:12">
      <c r="L1135">
        <f t="shared" si="43"/>
        <v>0</v>
      </c>
    </row>
    <row r="1136" spans="12:12">
      <c r="L1136">
        <f t="shared" si="43"/>
        <v>0</v>
      </c>
    </row>
    <row r="1137" spans="12:12">
      <c r="L1137">
        <f t="shared" si="43"/>
        <v>0</v>
      </c>
    </row>
    <row r="1138" spans="12:12">
      <c r="L1138">
        <f t="shared" si="43"/>
        <v>0</v>
      </c>
    </row>
    <row r="1139" spans="12:12">
      <c r="L1139">
        <f t="shared" si="43"/>
        <v>0</v>
      </c>
    </row>
    <row r="1140" spans="12:12">
      <c r="L1140">
        <f t="shared" si="43"/>
        <v>0</v>
      </c>
    </row>
    <row r="1141" spans="12:12">
      <c r="L1141">
        <f t="shared" si="43"/>
        <v>0</v>
      </c>
    </row>
    <row r="1142" spans="12:12">
      <c r="L1142">
        <f t="shared" si="43"/>
        <v>0</v>
      </c>
    </row>
    <row r="1143" spans="12:12">
      <c r="L1143">
        <f t="shared" si="43"/>
        <v>0</v>
      </c>
    </row>
    <row r="1144" spans="12:12">
      <c r="L1144">
        <f t="shared" si="43"/>
        <v>0</v>
      </c>
    </row>
    <row r="1145" spans="12:12">
      <c r="L1145">
        <f t="shared" si="43"/>
        <v>0</v>
      </c>
    </row>
    <row r="1146" spans="12:12">
      <c r="L1146">
        <f t="shared" si="43"/>
        <v>0</v>
      </c>
    </row>
    <row r="1147" spans="12:12">
      <c r="L1147">
        <f t="shared" si="43"/>
        <v>0</v>
      </c>
    </row>
    <row r="1148" spans="12:12">
      <c r="L1148">
        <f t="shared" si="43"/>
        <v>0</v>
      </c>
    </row>
    <row r="1149" spans="12:12">
      <c r="L1149">
        <f t="shared" si="43"/>
        <v>0</v>
      </c>
    </row>
    <row r="1150" spans="12:12">
      <c r="L1150">
        <f t="shared" si="43"/>
        <v>0</v>
      </c>
    </row>
    <row r="1151" spans="12:12">
      <c r="L1151">
        <f t="shared" si="43"/>
        <v>0</v>
      </c>
    </row>
    <row r="1152" spans="12:12">
      <c r="L1152">
        <f t="shared" si="43"/>
        <v>0</v>
      </c>
    </row>
    <row r="1153" spans="12:12">
      <c r="L1153">
        <f t="shared" si="43"/>
        <v>0</v>
      </c>
    </row>
    <row r="1154" spans="12:12">
      <c r="L1154">
        <f t="shared" si="43"/>
        <v>0</v>
      </c>
    </row>
    <row r="1155" spans="12:12">
      <c r="L1155">
        <f t="shared" si="43"/>
        <v>0</v>
      </c>
    </row>
    <row r="1156" spans="12:12">
      <c r="L1156">
        <f t="shared" si="43"/>
        <v>0</v>
      </c>
    </row>
    <row r="1157" spans="12:12">
      <c r="L1157">
        <f t="shared" si="43"/>
        <v>0</v>
      </c>
    </row>
    <row r="1158" spans="12:12">
      <c r="L1158">
        <f t="shared" si="43"/>
        <v>0</v>
      </c>
    </row>
    <row r="1159" spans="12:12">
      <c r="L1159">
        <f t="shared" si="43"/>
        <v>0</v>
      </c>
    </row>
    <row r="1160" spans="12:12">
      <c r="L1160">
        <f t="shared" ref="L1160:L1214" si="44">I1160-J1160-K1160</f>
        <v>0</v>
      </c>
    </row>
    <row r="1161" spans="12:12">
      <c r="L1161">
        <f t="shared" si="44"/>
        <v>0</v>
      </c>
    </row>
    <row r="1162" spans="12:12">
      <c r="L1162">
        <f t="shared" si="44"/>
        <v>0</v>
      </c>
    </row>
    <row r="1163" spans="12:12">
      <c r="L1163">
        <f t="shared" si="44"/>
        <v>0</v>
      </c>
    </row>
    <row r="1164" spans="12:12">
      <c r="L1164">
        <f t="shared" si="44"/>
        <v>0</v>
      </c>
    </row>
    <row r="1165" spans="12:12">
      <c r="L1165">
        <f t="shared" si="44"/>
        <v>0</v>
      </c>
    </row>
    <row r="1166" spans="12:12">
      <c r="L1166">
        <f t="shared" si="44"/>
        <v>0</v>
      </c>
    </row>
    <row r="1167" spans="12:12">
      <c r="L1167">
        <f t="shared" si="44"/>
        <v>0</v>
      </c>
    </row>
    <row r="1168" spans="12:12">
      <c r="L1168">
        <f t="shared" si="44"/>
        <v>0</v>
      </c>
    </row>
    <row r="1169" spans="12:12">
      <c r="L1169">
        <f t="shared" si="44"/>
        <v>0</v>
      </c>
    </row>
    <row r="1170" spans="12:12">
      <c r="L1170">
        <f t="shared" si="44"/>
        <v>0</v>
      </c>
    </row>
    <row r="1171" spans="12:12">
      <c r="L1171">
        <f t="shared" si="44"/>
        <v>0</v>
      </c>
    </row>
    <row r="1172" spans="12:12">
      <c r="L1172">
        <f t="shared" si="44"/>
        <v>0</v>
      </c>
    </row>
    <row r="1173" spans="12:12">
      <c r="L1173">
        <f t="shared" si="44"/>
        <v>0</v>
      </c>
    </row>
    <row r="1174" spans="12:12">
      <c r="L1174">
        <f t="shared" si="44"/>
        <v>0</v>
      </c>
    </row>
    <row r="1175" spans="12:12">
      <c r="L1175">
        <f t="shared" si="44"/>
        <v>0</v>
      </c>
    </row>
    <row r="1176" spans="12:12">
      <c r="L1176">
        <f t="shared" si="44"/>
        <v>0</v>
      </c>
    </row>
    <row r="1177" spans="12:12">
      <c r="L1177">
        <f t="shared" si="44"/>
        <v>0</v>
      </c>
    </row>
    <row r="1178" spans="12:12">
      <c r="L1178">
        <f t="shared" si="44"/>
        <v>0</v>
      </c>
    </row>
    <row r="1179" spans="12:12">
      <c r="L1179">
        <f t="shared" si="44"/>
        <v>0</v>
      </c>
    </row>
    <row r="1180" spans="12:12">
      <c r="L1180">
        <f t="shared" si="44"/>
        <v>0</v>
      </c>
    </row>
    <row r="1181" spans="12:12">
      <c r="L1181">
        <f t="shared" si="44"/>
        <v>0</v>
      </c>
    </row>
    <row r="1182" spans="12:12">
      <c r="L1182">
        <f t="shared" si="44"/>
        <v>0</v>
      </c>
    </row>
    <row r="1183" spans="12:12">
      <c r="L1183">
        <f t="shared" si="44"/>
        <v>0</v>
      </c>
    </row>
    <row r="1184" spans="12:12">
      <c r="L1184">
        <f t="shared" si="44"/>
        <v>0</v>
      </c>
    </row>
    <row r="1185" spans="12:12">
      <c r="L1185">
        <f t="shared" si="44"/>
        <v>0</v>
      </c>
    </row>
    <row r="1186" spans="12:12">
      <c r="L1186">
        <f t="shared" si="44"/>
        <v>0</v>
      </c>
    </row>
    <row r="1187" spans="12:12">
      <c r="L1187">
        <f t="shared" si="44"/>
        <v>0</v>
      </c>
    </row>
    <row r="1188" spans="12:12">
      <c r="L1188">
        <f t="shared" si="44"/>
        <v>0</v>
      </c>
    </row>
    <row r="1189" spans="12:12">
      <c r="L1189">
        <f t="shared" si="44"/>
        <v>0</v>
      </c>
    </row>
    <row r="1190" spans="12:12">
      <c r="L1190">
        <f t="shared" si="44"/>
        <v>0</v>
      </c>
    </row>
    <row r="1191" spans="12:12">
      <c r="L1191">
        <f t="shared" si="44"/>
        <v>0</v>
      </c>
    </row>
    <row r="1192" spans="12:12">
      <c r="L1192">
        <f t="shared" si="44"/>
        <v>0</v>
      </c>
    </row>
    <row r="1193" spans="12:12">
      <c r="L1193">
        <f t="shared" si="44"/>
        <v>0</v>
      </c>
    </row>
    <row r="1194" spans="12:12">
      <c r="L1194">
        <f t="shared" si="44"/>
        <v>0</v>
      </c>
    </row>
    <row r="1195" spans="12:12">
      <c r="L1195">
        <f t="shared" si="44"/>
        <v>0</v>
      </c>
    </row>
    <row r="1196" spans="12:12">
      <c r="L1196">
        <f t="shared" si="44"/>
        <v>0</v>
      </c>
    </row>
    <row r="1197" spans="12:12">
      <c r="L1197">
        <f t="shared" si="44"/>
        <v>0</v>
      </c>
    </row>
    <row r="1198" spans="12:12">
      <c r="L1198">
        <f t="shared" si="44"/>
        <v>0</v>
      </c>
    </row>
    <row r="1199" spans="12:12">
      <c r="L1199">
        <f t="shared" si="44"/>
        <v>0</v>
      </c>
    </row>
    <row r="1200" spans="12:12">
      <c r="L1200">
        <f t="shared" si="44"/>
        <v>0</v>
      </c>
    </row>
    <row r="1201" spans="12:12">
      <c r="L1201">
        <f t="shared" si="44"/>
        <v>0</v>
      </c>
    </row>
    <row r="1202" spans="12:12">
      <c r="L1202">
        <f t="shared" si="44"/>
        <v>0</v>
      </c>
    </row>
    <row r="1203" spans="12:12">
      <c r="L1203">
        <f t="shared" si="44"/>
        <v>0</v>
      </c>
    </row>
    <row r="1204" spans="12:12">
      <c r="L1204">
        <f t="shared" si="44"/>
        <v>0</v>
      </c>
    </row>
    <row r="1205" spans="12:12">
      <c r="L1205">
        <f t="shared" si="44"/>
        <v>0</v>
      </c>
    </row>
    <row r="1206" spans="12:12">
      <c r="L1206">
        <f t="shared" si="44"/>
        <v>0</v>
      </c>
    </row>
    <row r="1207" spans="12:12">
      <c r="L1207">
        <f t="shared" si="44"/>
        <v>0</v>
      </c>
    </row>
    <row r="1208" spans="12:12">
      <c r="L1208">
        <f t="shared" si="44"/>
        <v>0</v>
      </c>
    </row>
    <row r="1209" spans="12:12">
      <c r="L1209">
        <f t="shared" si="44"/>
        <v>0</v>
      </c>
    </row>
    <row r="1210" spans="12:12">
      <c r="L1210">
        <f t="shared" si="44"/>
        <v>0</v>
      </c>
    </row>
    <row r="1211" spans="12:12">
      <c r="L1211">
        <f t="shared" si="44"/>
        <v>0</v>
      </c>
    </row>
    <row r="1212" spans="12:12">
      <c r="L1212">
        <f t="shared" si="44"/>
        <v>0</v>
      </c>
    </row>
    <row r="1213" spans="12:12">
      <c r="L1213">
        <f t="shared" si="44"/>
        <v>0</v>
      </c>
    </row>
    <row r="1214" spans="12:12">
      <c r="L1214">
        <f t="shared" si="44"/>
        <v>0</v>
      </c>
    </row>
  </sheetData>
  <mergeCells count="2">
    <mergeCell ref="A1:O1"/>
    <mergeCell ref="R1:T1"/>
  </mergeCells>
  <pageMargins left="0.7" right="0.7" top="0.75" bottom="0.75" header="0.3" footer="0.3"/>
  <pageSetup scale="52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activeCell="B9" sqref="B9"/>
    </sheetView>
  </sheetViews>
  <sheetFormatPr defaultRowHeight="14.4"/>
  <cols>
    <col min="1" max="1" width="9.44140625" style="13" customWidth="1"/>
    <col min="2" max="2" width="14.5546875" style="13" customWidth="1"/>
    <col min="3" max="3" width="18.109375" style="13" customWidth="1"/>
    <col min="4" max="4" width="21.21875" style="13" customWidth="1"/>
    <col min="5" max="5" width="35.109375" style="13" customWidth="1"/>
    <col min="6" max="16384" width="8.88671875" style="13"/>
  </cols>
  <sheetData>
    <row r="1" spans="1:5" ht="18">
      <c r="A1" s="81" t="s">
        <v>467</v>
      </c>
      <c r="B1" s="81"/>
      <c r="C1" s="81"/>
      <c r="D1" s="81"/>
      <c r="E1" s="81"/>
    </row>
    <row r="2" spans="1:5" ht="15.6">
      <c r="A2" s="24" t="s">
        <v>471</v>
      </c>
      <c r="B2" s="25" t="s">
        <v>465</v>
      </c>
      <c r="C2" s="25" t="s">
        <v>468</v>
      </c>
      <c r="D2" s="25" t="s">
        <v>469</v>
      </c>
      <c r="E2" s="26" t="s">
        <v>470</v>
      </c>
    </row>
    <row r="3" spans="1:5">
      <c r="A3" s="14">
        <v>1</v>
      </c>
      <c r="B3" s="15"/>
      <c r="C3" s="16">
        <v>5000</v>
      </c>
      <c r="D3" s="17" t="s">
        <v>489</v>
      </c>
      <c r="E3" s="18" t="s">
        <v>474</v>
      </c>
    </row>
    <row r="4" spans="1:5">
      <c r="A4" s="14">
        <v>2</v>
      </c>
      <c r="B4" s="15"/>
      <c r="C4" s="16">
        <v>5000</v>
      </c>
      <c r="D4" s="17" t="s">
        <v>489</v>
      </c>
      <c r="E4" s="18" t="s">
        <v>474</v>
      </c>
    </row>
    <row r="5" spans="1:5">
      <c r="A5" s="14">
        <v>3</v>
      </c>
      <c r="B5" s="15">
        <v>46196</v>
      </c>
      <c r="C5" s="16">
        <v>40000</v>
      </c>
      <c r="D5" s="17" t="s">
        <v>472</v>
      </c>
      <c r="E5" s="18" t="s">
        <v>473</v>
      </c>
    </row>
    <row r="6" spans="1:5">
      <c r="A6" s="14">
        <v>4</v>
      </c>
      <c r="B6" s="15">
        <v>46196</v>
      </c>
      <c r="C6" s="16">
        <v>4000</v>
      </c>
      <c r="D6" s="16" t="s">
        <v>489</v>
      </c>
      <c r="E6" s="19" t="s">
        <v>474</v>
      </c>
    </row>
    <row r="7" spans="1:5">
      <c r="A7" s="14">
        <v>5</v>
      </c>
      <c r="B7" s="15"/>
      <c r="C7" s="16">
        <v>15000</v>
      </c>
      <c r="D7" s="16" t="s">
        <v>490</v>
      </c>
      <c r="E7" s="19" t="s">
        <v>491</v>
      </c>
    </row>
    <row r="8" spans="1:5">
      <c r="A8" s="14"/>
      <c r="B8" s="15">
        <v>46192</v>
      </c>
      <c r="C8" s="16">
        <v>5000</v>
      </c>
      <c r="D8" s="16" t="s">
        <v>492</v>
      </c>
      <c r="E8" s="19" t="s">
        <v>493</v>
      </c>
    </row>
    <row r="9" spans="1:5">
      <c r="A9" s="14"/>
      <c r="B9" s="15"/>
      <c r="C9" s="16"/>
      <c r="D9" s="16"/>
      <c r="E9" s="19"/>
    </row>
    <row r="10" spans="1:5">
      <c r="A10" s="14"/>
      <c r="B10" s="15"/>
      <c r="C10" s="16"/>
      <c r="D10" s="16"/>
      <c r="E10" s="19"/>
    </row>
    <row r="11" spans="1:5">
      <c r="A11" s="14"/>
      <c r="B11" s="15"/>
      <c r="C11" s="16"/>
      <c r="D11" s="16"/>
      <c r="E11" s="19"/>
    </row>
    <row r="12" spans="1:5">
      <c r="A12" s="14"/>
      <c r="B12" s="15"/>
      <c r="C12" s="16"/>
      <c r="D12" s="16"/>
      <c r="E12" s="19"/>
    </row>
    <row r="13" spans="1:5">
      <c r="A13" s="14"/>
      <c r="B13" s="15"/>
      <c r="C13" s="16"/>
      <c r="D13" s="16"/>
      <c r="E13" s="19"/>
    </row>
    <row r="14" spans="1:5">
      <c r="A14" s="14"/>
      <c r="B14" s="15"/>
      <c r="C14" s="16"/>
      <c r="D14" s="16"/>
      <c r="E14" s="19"/>
    </row>
    <row r="15" spans="1:5">
      <c r="A15" s="14"/>
      <c r="B15" s="15"/>
      <c r="C15" s="16"/>
      <c r="D15" s="16"/>
      <c r="E15" s="19"/>
    </row>
    <row r="16" spans="1:5">
      <c r="A16" s="14"/>
      <c r="B16" s="15"/>
      <c r="C16" s="16"/>
      <c r="D16" s="16"/>
      <c r="E16" s="19"/>
    </row>
    <row r="17" spans="1:5">
      <c r="A17" s="14"/>
      <c r="B17" s="15"/>
      <c r="C17" s="16"/>
      <c r="D17" s="16"/>
      <c r="E17" s="19"/>
    </row>
    <row r="18" spans="1:5">
      <c r="A18" s="14"/>
      <c r="B18" s="15"/>
      <c r="C18" s="16"/>
      <c r="D18" s="16"/>
      <c r="E18" s="19"/>
    </row>
    <row r="19" spans="1:5">
      <c r="A19" s="14"/>
      <c r="B19" s="15"/>
      <c r="C19" s="16"/>
      <c r="D19" s="16"/>
      <c r="E19" s="19"/>
    </row>
    <row r="20" spans="1:5">
      <c r="A20" s="14"/>
      <c r="B20" s="15"/>
      <c r="C20" s="16"/>
      <c r="D20" s="16"/>
      <c r="E20" s="19"/>
    </row>
    <row r="21" spans="1:5">
      <c r="A21" s="14"/>
      <c r="B21" s="15"/>
      <c r="C21" s="16"/>
      <c r="D21" s="16"/>
      <c r="E21" s="19"/>
    </row>
    <row r="22" spans="1:5">
      <c r="A22" s="14"/>
      <c r="B22" s="15"/>
      <c r="C22" s="16"/>
      <c r="D22" s="16"/>
      <c r="E22" s="19"/>
    </row>
    <row r="23" spans="1:5">
      <c r="A23" s="14"/>
      <c r="B23" s="15"/>
      <c r="C23" s="16"/>
      <c r="D23" s="16"/>
      <c r="E23" s="19"/>
    </row>
    <row r="24" spans="1:5">
      <c r="A24" s="14"/>
      <c r="B24" s="15"/>
      <c r="C24" s="16"/>
      <c r="D24" s="16"/>
      <c r="E24" s="19"/>
    </row>
    <row r="25" spans="1:5">
      <c r="A25" s="14"/>
      <c r="B25" s="15"/>
      <c r="C25" s="16"/>
      <c r="D25" s="16"/>
      <c r="E25" s="19"/>
    </row>
    <row r="26" spans="1:5">
      <c r="A26" s="14"/>
      <c r="B26" s="15"/>
      <c r="C26" s="16"/>
      <c r="D26" s="16"/>
      <c r="E26" s="19"/>
    </row>
    <row r="27" spans="1:5">
      <c r="A27" s="14"/>
      <c r="B27" s="15"/>
      <c r="C27" s="16"/>
      <c r="D27" s="16"/>
      <c r="E27" s="19"/>
    </row>
    <row r="28" spans="1:5">
      <c r="A28" s="14"/>
      <c r="B28" s="15"/>
      <c r="C28" s="16"/>
      <c r="D28" s="16"/>
      <c r="E28" s="19"/>
    </row>
    <row r="29" spans="1:5">
      <c r="A29" s="14"/>
      <c r="B29" s="15"/>
      <c r="C29" s="16"/>
      <c r="D29" s="16"/>
      <c r="E29" s="19"/>
    </row>
    <row r="30" spans="1:5">
      <c r="A30" s="14"/>
      <c r="B30" s="15"/>
      <c r="C30" s="16"/>
      <c r="D30" s="16"/>
      <c r="E30" s="19"/>
    </row>
    <row r="31" spans="1:5">
      <c r="A31" s="14"/>
      <c r="B31" s="15"/>
      <c r="C31" s="16"/>
      <c r="D31" s="16"/>
      <c r="E31" s="19"/>
    </row>
    <row r="32" spans="1:5">
      <c r="A32" s="14"/>
      <c r="B32" s="15"/>
      <c r="C32" s="16"/>
      <c r="D32" s="16"/>
      <c r="E32" s="19"/>
    </row>
    <row r="33" spans="1:5">
      <c r="A33" s="14"/>
      <c r="B33" s="15"/>
      <c r="C33" s="16"/>
      <c r="D33" s="16"/>
      <c r="E33" s="19"/>
    </row>
    <row r="34" spans="1:5">
      <c r="A34" s="14"/>
      <c r="B34" s="15"/>
      <c r="C34" s="16"/>
      <c r="D34" s="16"/>
      <c r="E34" s="19"/>
    </row>
    <row r="35" spans="1:5">
      <c r="A35" s="14"/>
      <c r="B35" s="15"/>
      <c r="C35" s="16"/>
      <c r="D35" s="16"/>
      <c r="E35" s="19"/>
    </row>
    <row r="36" spans="1:5">
      <c r="A36" s="14"/>
      <c r="B36" s="15"/>
      <c r="C36" s="16"/>
      <c r="D36" s="16"/>
      <c r="E36" s="19"/>
    </row>
    <row r="37" spans="1:5">
      <c r="A37" s="14"/>
      <c r="B37" s="15"/>
      <c r="C37" s="16"/>
      <c r="D37" s="16"/>
      <c r="E37" s="19"/>
    </row>
    <row r="38" spans="1:5">
      <c r="A38" s="14"/>
      <c r="B38" s="15"/>
      <c r="C38" s="16"/>
      <c r="D38" s="16"/>
      <c r="E38" s="19"/>
    </row>
    <row r="39" spans="1:5">
      <c r="A39" s="14"/>
      <c r="B39" s="15"/>
      <c r="C39" s="16"/>
      <c r="D39" s="16"/>
      <c r="E39" s="19"/>
    </row>
    <row r="40" spans="1:5">
      <c r="A40" s="14"/>
      <c r="B40" s="15"/>
      <c r="C40" s="16"/>
      <c r="D40" s="16"/>
      <c r="E40" s="19"/>
    </row>
    <row r="41" spans="1:5">
      <c r="A41" s="14"/>
      <c r="B41" s="15"/>
      <c r="C41" s="16"/>
      <c r="D41" s="16"/>
      <c r="E41" s="19"/>
    </row>
    <row r="42" spans="1:5">
      <c r="A42" s="14"/>
      <c r="B42" s="15"/>
      <c r="C42" s="16"/>
      <c r="D42" s="16"/>
      <c r="E42" s="19"/>
    </row>
    <row r="43" spans="1:5">
      <c r="A43" s="14"/>
      <c r="B43" s="15"/>
      <c r="C43" s="16"/>
      <c r="D43" s="16"/>
      <c r="E43" s="19"/>
    </row>
    <row r="44" spans="1:5">
      <c r="A44" s="14"/>
      <c r="B44" s="15"/>
      <c r="C44" s="16"/>
      <c r="D44" s="16"/>
      <c r="E44" s="19"/>
    </row>
    <row r="45" spans="1:5">
      <c r="A45" s="14"/>
      <c r="B45" s="15"/>
      <c r="C45" s="16"/>
      <c r="D45" s="16"/>
      <c r="E45" s="19"/>
    </row>
    <row r="46" spans="1:5">
      <c r="A46" s="14"/>
      <c r="B46" s="15"/>
      <c r="C46" s="16"/>
      <c r="D46" s="16"/>
      <c r="E46" s="19"/>
    </row>
    <row r="47" spans="1:5">
      <c r="A47" s="14"/>
      <c r="B47" s="15"/>
      <c r="C47" s="16"/>
      <c r="D47" s="16"/>
      <c r="E47" s="19"/>
    </row>
    <row r="48" spans="1:5">
      <c r="A48" s="14"/>
      <c r="B48" s="15"/>
      <c r="C48" s="16"/>
      <c r="D48" s="16"/>
      <c r="E48" s="19"/>
    </row>
    <row r="49" spans="1:5">
      <c r="A49" s="14"/>
      <c r="B49" s="15"/>
      <c r="C49" s="16"/>
      <c r="D49" s="16"/>
      <c r="E49" s="19"/>
    </row>
    <row r="50" spans="1:5">
      <c r="A50" s="14"/>
      <c r="B50" s="15"/>
      <c r="C50" s="16"/>
      <c r="D50" s="16"/>
      <c r="E50" s="19"/>
    </row>
    <row r="51" spans="1:5">
      <c r="A51" s="14"/>
      <c r="B51" s="15"/>
      <c r="C51" s="16"/>
      <c r="D51" s="16"/>
      <c r="E51" s="19"/>
    </row>
    <row r="52" spans="1:5">
      <c r="A52" s="14"/>
      <c r="B52" s="15"/>
      <c r="C52" s="16"/>
      <c r="D52" s="16"/>
      <c r="E52" s="19"/>
    </row>
    <row r="53" spans="1:5">
      <c r="A53" s="14"/>
      <c r="B53" s="15"/>
      <c r="C53" s="16"/>
      <c r="D53" s="16"/>
      <c r="E53" s="19"/>
    </row>
    <row r="54" spans="1:5">
      <c r="A54" s="14"/>
      <c r="B54" s="15"/>
      <c r="C54" s="16"/>
      <c r="D54" s="16"/>
      <c r="E54" s="19"/>
    </row>
    <row r="55" spans="1:5">
      <c r="A55" s="14"/>
      <c r="B55" s="15"/>
      <c r="C55" s="16"/>
      <c r="D55" s="16"/>
      <c r="E55" s="19"/>
    </row>
    <row r="56" spans="1:5">
      <c r="A56" s="14"/>
      <c r="B56" s="15"/>
      <c r="C56" s="16"/>
      <c r="D56" s="16"/>
      <c r="E56" s="19"/>
    </row>
    <row r="57" spans="1:5">
      <c r="A57" s="14"/>
      <c r="B57" s="15"/>
      <c r="C57" s="16"/>
      <c r="D57" s="16"/>
      <c r="E57" s="19"/>
    </row>
    <row r="58" spans="1:5">
      <c r="A58" s="14"/>
      <c r="B58" s="15"/>
      <c r="C58" s="16"/>
      <c r="D58" s="16"/>
      <c r="E58" s="19"/>
    </row>
    <row r="59" spans="1:5">
      <c r="A59" s="14"/>
      <c r="B59" s="15"/>
      <c r="C59" s="16"/>
      <c r="D59" s="16"/>
      <c r="E59" s="19"/>
    </row>
    <row r="60" spans="1:5">
      <c r="A60" s="14"/>
      <c r="B60" s="15"/>
      <c r="C60" s="16"/>
      <c r="D60" s="16"/>
      <c r="E60" s="19"/>
    </row>
    <row r="61" spans="1:5">
      <c r="A61" s="14"/>
      <c r="B61" s="15"/>
      <c r="C61" s="16"/>
      <c r="D61" s="16"/>
      <c r="E61" s="19"/>
    </row>
    <row r="62" spans="1:5">
      <c r="A62" s="14"/>
      <c r="B62" s="15"/>
      <c r="C62" s="16"/>
      <c r="D62" s="16"/>
      <c r="E62" s="19"/>
    </row>
    <row r="63" spans="1:5">
      <c r="A63" s="14"/>
      <c r="B63" s="15"/>
      <c r="C63" s="16"/>
      <c r="D63" s="16"/>
      <c r="E63" s="19"/>
    </row>
    <row r="64" spans="1:5">
      <c r="A64" s="14"/>
      <c r="B64" s="15"/>
      <c r="C64" s="16"/>
      <c r="D64" s="16"/>
      <c r="E64" s="19"/>
    </row>
    <row r="65" spans="1:5">
      <c r="A65" s="14"/>
      <c r="B65" s="15"/>
      <c r="C65" s="16"/>
      <c r="D65" s="16"/>
      <c r="E65" s="19"/>
    </row>
    <row r="66" spans="1:5">
      <c r="A66" s="14"/>
      <c r="B66" s="15"/>
      <c r="C66" s="16"/>
      <c r="D66" s="16"/>
      <c r="E66" s="19"/>
    </row>
    <row r="67" spans="1:5">
      <c r="A67" s="14"/>
      <c r="B67" s="15"/>
      <c r="C67" s="16"/>
      <c r="D67" s="16"/>
      <c r="E67" s="19"/>
    </row>
    <row r="68" spans="1:5">
      <c r="A68" s="14"/>
      <c r="B68" s="15"/>
      <c r="C68" s="16"/>
      <c r="D68" s="16"/>
      <c r="E68" s="19"/>
    </row>
    <row r="69" spans="1:5">
      <c r="A69" s="14"/>
      <c r="B69" s="15"/>
      <c r="C69" s="16"/>
      <c r="D69" s="16"/>
      <c r="E69" s="19"/>
    </row>
    <row r="70" spans="1:5">
      <c r="A70" s="14"/>
      <c r="B70" s="15"/>
      <c r="C70" s="16"/>
      <c r="D70" s="16"/>
      <c r="E70" s="19"/>
    </row>
    <row r="71" spans="1:5">
      <c r="A71" s="14"/>
      <c r="B71" s="15"/>
      <c r="C71" s="16"/>
      <c r="D71" s="16"/>
      <c r="E71" s="19"/>
    </row>
    <row r="72" spans="1:5">
      <c r="A72" s="14"/>
      <c r="B72" s="15"/>
      <c r="C72" s="16"/>
      <c r="D72" s="16"/>
      <c r="E72" s="19"/>
    </row>
    <row r="73" spans="1:5">
      <c r="A73" s="14"/>
      <c r="B73" s="15"/>
      <c r="C73" s="16"/>
      <c r="D73" s="16"/>
      <c r="E73" s="19"/>
    </row>
    <row r="74" spans="1:5">
      <c r="A74" s="14"/>
      <c r="B74" s="15"/>
      <c r="C74" s="16"/>
      <c r="D74" s="16"/>
      <c r="E74" s="19"/>
    </row>
    <row r="75" spans="1:5">
      <c r="A75" s="14"/>
      <c r="B75" s="15"/>
      <c r="C75" s="16"/>
      <c r="D75" s="16"/>
      <c r="E75" s="19"/>
    </row>
    <row r="76" spans="1:5">
      <c r="A76" s="14"/>
      <c r="B76" s="15"/>
      <c r="C76" s="16"/>
      <c r="D76" s="16"/>
      <c r="E76" s="19"/>
    </row>
    <row r="77" spans="1:5">
      <c r="A77" s="14"/>
      <c r="B77" s="15"/>
      <c r="C77" s="16"/>
      <c r="D77" s="16"/>
      <c r="E77" s="19"/>
    </row>
    <row r="78" spans="1:5">
      <c r="A78" s="14"/>
      <c r="B78" s="15"/>
      <c r="C78" s="16"/>
      <c r="D78" s="16"/>
      <c r="E78" s="19"/>
    </row>
    <row r="79" spans="1:5">
      <c r="A79" s="14"/>
      <c r="B79" s="15"/>
      <c r="C79" s="16"/>
      <c r="D79" s="16"/>
      <c r="E79" s="19"/>
    </row>
    <row r="80" spans="1:5">
      <c r="A80" s="14"/>
      <c r="B80" s="15"/>
      <c r="C80" s="16"/>
      <c r="D80" s="16"/>
      <c r="E80" s="19"/>
    </row>
    <row r="81" spans="1:5">
      <c r="A81" s="20"/>
      <c r="B81" s="21"/>
      <c r="C81" s="22"/>
      <c r="D81" s="22"/>
      <c r="E81" s="23"/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activeCell="B3" sqref="B3"/>
    </sheetView>
  </sheetViews>
  <sheetFormatPr defaultRowHeight="14.4"/>
  <cols>
    <col min="1" max="1" width="1.88671875" style="28" customWidth="1"/>
    <col min="2" max="2" width="12.44140625" style="28" customWidth="1"/>
    <col min="3" max="3" width="17.109375" style="28" customWidth="1"/>
    <col min="4" max="4" width="19.33203125" style="28" customWidth="1"/>
    <col min="5" max="5" width="13.77734375" style="28" customWidth="1"/>
    <col min="6" max="6" width="11.88671875" style="28" customWidth="1"/>
    <col min="7" max="7" width="14.77734375" style="28" customWidth="1"/>
    <col min="8" max="16384" width="8.88671875" style="28"/>
  </cols>
  <sheetData>
    <row r="1" spans="1:7" ht="21">
      <c r="B1" s="82" t="s">
        <v>481</v>
      </c>
      <c r="C1" s="82"/>
      <c r="D1" s="82"/>
      <c r="E1" s="82"/>
      <c r="F1" s="82"/>
      <c r="G1" s="82"/>
    </row>
    <row r="2" spans="1:7" ht="15.6">
      <c r="A2" s="29"/>
      <c r="B2" s="30" t="s">
        <v>482</v>
      </c>
      <c r="C2" s="31" t="s">
        <v>483</v>
      </c>
      <c r="D2" s="31" t="s">
        <v>484</v>
      </c>
      <c r="E2" s="31" t="s">
        <v>485</v>
      </c>
      <c r="F2" s="31" t="s">
        <v>486</v>
      </c>
      <c r="G2" s="32" t="s">
        <v>487</v>
      </c>
    </row>
    <row r="3" spans="1:7">
      <c r="B3" s="14"/>
      <c r="C3" s="16"/>
      <c r="D3" s="16"/>
      <c r="E3" s="16"/>
      <c r="F3" s="16"/>
      <c r="G3" s="19"/>
    </row>
    <row r="4" spans="1:7">
      <c r="B4" s="14"/>
      <c r="C4" s="16"/>
      <c r="D4" s="16"/>
      <c r="E4" s="16"/>
      <c r="F4" s="16"/>
      <c r="G4" s="19"/>
    </row>
    <row r="5" spans="1:7">
      <c r="B5" s="14"/>
      <c r="C5" s="16"/>
      <c r="D5" s="16"/>
      <c r="E5" s="16"/>
      <c r="F5" s="16"/>
      <c r="G5" s="19"/>
    </row>
    <row r="6" spans="1:7">
      <c r="B6" s="14"/>
      <c r="C6" s="16"/>
      <c r="D6" s="16"/>
      <c r="E6" s="16"/>
      <c r="F6" s="16"/>
      <c r="G6" s="19"/>
    </row>
    <row r="7" spans="1:7">
      <c r="B7" s="14"/>
      <c r="C7" s="16"/>
      <c r="D7" s="16"/>
      <c r="E7" s="16"/>
      <c r="F7" s="16"/>
      <c r="G7" s="19"/>
    </row>
    <row r="8" spans="1:7">
      <c r="B8" s="14"/>
      <c r="C8" s="16"/>
      <c r="D8" s="16"/>
      <c r="E8" s="16"/>
      <c r="F8" s="16"/>
      <c r="G8" s="19"/>
    </row>
    <row r="9" spans="1:7">
      <c r="B9" s="14"/>
      <c r="C9" s="16"/>
      <c r="D9" s="16"/>
      <c r="E9" s="16"/>
      <c r="F9" s="16"/>
      <c r="G9" s="19"/>
    </row>
    <row r="10" spans="1:7">
      <c r="B10" s="14"/>
      <c r="C10" s="16"/>
      <c r="D10" s="16"/>
      <c r="E10" s="16"/>
      <c r="F10" s="16"/>
      <c r="G10" s="19"/>
    </row>
    <row r="11" spans="1:7">
      <c r="B11" s="14"/>
      <c r="C11" s="16"/>
      <c r="D11" s="16"/>
      <c r="E11" s="16"/>
      <c r="F11" s="16"/>
      <c r="G11" s="19"/>
    </row>
    <row r="12" spans="1:7">
      <c r="B12" s="14"/>
      <c r="C12" s="16"/>
      <c r="D12" s="16"/>
      <c r="E12" s="16"/>
      <c r="F12" s="16"/>
      <c r="G12" s="19"/>
    </row>
    <row r="13" spans="1:7">
      <c r="B13" s="14"/>
      <c r="C13" s="16"/>
      <c r="D13" s="16"/>
      <c r="E13" s="16"/>
      <c r="F13" s="16"/>
      <c r="G13" s="19"/>
    </row>
    <row r="14" spans="1:7">
      <c r="B14" s="14"/>
      <c r="C14" s="16"/>
      <c r="D14" s="16"/>
      <c r="E14" s="16"/>
      <c r="F14" s="16"/>
      <c r="G14" s="19"/>
    </row>
    <row r="15" spans="1:7">
      <c r="B15" s="14"/>
      <c r="C15" s="16"/>
      <c r="D15" s="16"/>
      <c r="E15" s="16"/>
      <c r="F15" s="16"/>
      <c r="G15" s="19"/>
    </row>
    <row r="16" spans="1:7">
      <c r="B16" s="14"/>
      <c r="C16" s="16"/>
      <c r="D16" s="16"/>
      <c r="E16" s="16"/>
      <c r="F16" s="16"/>
      <c r="G16" s="19"/>
    </row>
    <row r="17" spans="2:7">
      <c r="B17" s="14"/>
      <c r="C17" s="16"/>
      <c r="D17" s="16"/>
      <c r="E17" s="16"/>
      <c r="F17" s="16"/>
      <c r="G17" s="19"/>
    </row>
    <row r="18" spans="2:7">
      <c r="B18" s="14"/>
      <c r="C18" s="16"/>
      <c r="D18" s="16"/>
      <c r="E18" s="16"/>
      <c r="F18" s="16"/>
      <c r="G18" s="19"/>
    </row>
    <row r="19" spans="2:7">
      <c r="B19" s="14"/>
      <c r="C19" s="16"/>
      <c r="D19" s="16"/>
      <c r="E19" s="16"/>
      <c r="F19" s="16"/>
      <c r="G19" s="19"/>
    </row>
    <row r="20" spans="2:7">
      <c r="B20" s="14"/>
      <c r="C20" s="16"/>
      <c r="D20" s="16"/>
      <c r="E20" s="16"/>
      <c r="F20" s="16"/>
      <c r="G20" s="19"/>
    </row>
    <row r="21" spans="2:7">
      <c r="B21" s="14"/>
      <c r="C21" s="16"/>
      <c r="D21" s="16"/>
      <c r="E21" s="16"/>
      <c r="F21" s="16"/>
      <c r="G21" s="19"/>
    </row>
    <row r="22" spans="2:7">
      <c r="B22" s="14"/>
      <c r="C22" s="16"/>
      <c r="D22" s="16"/>
      <c r="E22" s="16"/>
      <c r="F22" s="16"/>
      <c r="G22" s="19"/>
    </row>
    <row r="23" spans="2:7">
      <c r="B23" s="14"/>
      <c r="C23" s="16"/>
      <c r="D23" s="16"/>
      <c r="E23" s="16"/>
      <c r="F23" s="16"/>
      <c r="G23" s="19"/>
    </row>
    <row r="24" spans="2:7">
      <c r="B24" s="14"/>
      <c r="C24" s="16"/>
      <c r="D24" s="16"/>
      <c r="E24" s="16"/>
      <c r="F24" s="16"/>
      <c r="G24" s="19"/>
    </row>
    <row r="25" spans="2:7">
      <c r="B25" s="14"/>
      <c r="C25" s="16"/>
      <c r="D25" s="16"/>
      <c r="E25" s="16"/>
      <c r="F25" s="16"/>
      <c r="G25" s="19"/>
    </row>
    <row r="26" spans="2:7">
      <c r="B26" s="14"/>
      <c r="C26" s="16"/>
      <c r="D26" s="16"/>
      <c r="E26" s="16"/>
      <c r="F26" s="16"/>
      <c r="G26" s="19"/>
    </row>
    <row r="27" spans="2:7">
      <c r="B27" s="14"/>
      <c r="C27" s="16"/>
      <c r="D27" s="16"/>
      <c r="E27" s="16"/>
      <c r="F27" s="16"/>
      <c r="G27" s="19"/>
    </row>
    <row r="28" spans="2:7">
      <c r="B28" s="14"/>
      <c r="C28" s="16"/>
      <c r="D28" s="16"/>
      <c r="E28" s="16"/>
      <c r="F28" s="16"/>
      <c r="G28" s="19"/>
    </row>
    <row r="29" spans="2:7">
      <c r="B29" s="14"/>
      <c r="C29" s="16"/>
      <c r="D29" s="16"/>
      <c r="E29" s="16"/>
      <c r="F29" s="16"/>
      <c r="G29" s="19"/>
    </row>
    <row r="30" spans="2:7">
      <c r="B30" s="14"/>
      <c r="C30" s="16"/>
      <c r="D30" s="16"/>
      <c r="E30" s="16"/>
      <c r="F30" s="16"/>
      <c r="G30" s="19"/>
    </row>
    <row r="31" spans="2:7">
      <c r="B31" s="14"/>
      <c r="C31" s="16"/>
      <c r="D31" s="16"/>
      <c r="E31" s="16"/>
      <c r="F31" s="16"/>
      <c r="G31" s="19"/>
    </row>
    <row r="32" spans="2:7">
      <c r="B32" s="14"/>
      <c r="C32" s="16"/>
      <c r="D32" s="16"/>
      <c r="E32" s="16"/>
      <c r="F32" s="16"/>
      <c r="G32" s="19"/>
    </row>
    <row r="33" spans="2:7">
      <c r="B33" s="14"/>
      <c r="C33" s="16"/>
      <c r="D33" s="16"/>
      <c r="E33" s="16"/>
      <c r="F33" s="16"/>
      <c r="G33" s="19"/>
    </row>
    <row r="34" spans="2:7">
      <c r="B34" s="14"/>
      <c r="C34" s="16"/>
      <c r="D34" s="16"/>
      <c r="E34" s="16"/>
      <c r="F34" s="16"/>
      <c r="G34" s="19"/>
    </row>
    <row r="35" spans="2:7">
      <c r="B35" s="14"/>
      <c r="C35" s="16"/>
      <c r="D35" s="16"/>
      <c r="E35" s="16"/>
      <c r="F35" s="16"/>
      <c r="G35" s="19"/>
    </row>
    <row r="36" spans="2:7">
      <c r="B36" s="14"/>
      <c r="C36" s="16"/>
      <c r="D36" s="16"/>
      <c r="E36" s="16"/>
      <c r="F36" s="16"/>
      <c r="G36" s="19"/>
    </row>
    <row r="37" spans="2:7">
      <c r="B37" s="14"/>
      <c r="C37" s="16"/>
      <c r="D37" s="16"/>
      <c r="E37" s="16"/>
      <c r="F37" s="16"/>
      <c r="G37" s="19"/>
    </row>
    <row r="38" spans="2:7">
      <c r="B38" s="14"/>
      <c r="C38" s="16"/>
      <c r="D38" s="16"/>
      <c r="E38" s="16"/>
      <c r="F38" s="16"/>
      <c r="G38" s="19"/>
    </row>
    <row r="39" spans="2:7">
      <c r="B39" s="14"/>
      <c r="C39" s="16"/>
      <c r="D39" s="16"/>
      <c r="E39" s="16"/>
      <c r="F39" s="16"/>
      <c r="G39" s="19"/>
    </row>
    <row r="40" spans="2:7">
      <c r="B40" s="14"/>
      <c r="C40" s="16"/>
      <c r="D40" s="16"/>
      <c r="E40" s="16"/>
      <c r="F40" s="16"/>
      <c r="G40" s="19"/>
    </row>
    <row r="41" spans="2:7">
      <c r="B41" s="14"/>
      <c r="C41" s="16"/>
      <c r="D41" s="16"/>
      <c r="E41" s="16"/>
      <c r="F41" s="16"/>
      <c r="G41" s="19"/>
    </row>
    <row r="42" spans="2:7">
      <c r="B42" s="14"/>
      <c r="C42" s="16"/>
      <c r="D42" s="16"/>
      <c r="E42" s="16"/>
      <c r="F42" s="16"/>
      <c r="G42" s="19"/>
    </row>
    <row r="43" spans="2:7">
      <c r="B43" s="14"/>
      <c r="C43" s="16"/>
      <c r="D43" s="16"/>
      <c r="E43" s="16"/>
      <c r="F43" s="16"/>
      <c r="G43" s="19"/>
    </row>
    <row r="44" spans="2:7">
      <c r="B44" s="14"/>
      <c r="C44" s="16"/>
      <c r="D44" s="16"/>
      <c r="E44" s="16"/>
      <c r="F44" s="16"/>
      <c r="G44" s="19"/>
    </row>
    <row r="45" spans="2:7">
      <c r="B45" s="14"/>
      <c r="C45" s="16"/>
      <c r="D45" s="16"/>
      <c r="E45" s="16"/>
      <c r="F45" s="16"/>
      <c r="G45" s="19"/>
    </row>
    <row r="46" spans="2:7">
      <c r="B46" s="14"/>
      <c r="C46" s="16"/>
      <c r="D46" s="16"/>
      <c r="E46" s="16"/>
      <c r="F46" s="16"/>
      <c r="G46" s="19"/>
    </row>
    <row r="47" spans="2:7">
      <c r="B47" s="14"/>
      <c r="C47" s="16"/>
      <c r="D47" s="16"/>
      <c r="E47" s="16"/>
      <c r="F47" s="16"/>
      <c r="G47" s="19"/>
    </row>
    <row r="48" spans="2:7">
      <c r="B48" s="14"/>
      <c r="C48" s="16"/>
      <c r="D48" s="16"/>
      <c r="E48" s="16"/>
      <c r="F48" s="16"/>
      <c r="G48" s="19"/>
    </row>
    <row r="49" spans="2:7">
      <c r="B49" s="14"/>
      <c r="C49" s="16"/>
      <c r="D49" s="16"/>
      <c r="E49" s="16"/>
      <c r="F49" s="16"/>
      <c r="G49" s="19"/>
    </row>
    <row r="50" spans="2:7">
      <c r="B50" s="14"/>
      <c r="C50" s="16"/>
      <c r="D50" s="16"/>
      <c r="E50" s="16"/>
      <c r="F50" s="16"/>
      <c r="G50" s="19"/>
    </row>
    <row r="51" spans="2:7">
      <c r="B51" s="14"/>
      <c r="C51" s="16"/>
      <c r="D51" s="16"/>
      <c r="E51" s="16"/>
      <c r="F51" s="16"/>
      <c r="G51" s="19"/>
    </row>
    <row r="52" spans="2:7">
      <c r="B52" s="14"/>
      <c r="C52" s="16"/>
      <c r="D52" s="16"/>
      <c r="E52" s="16"/>
      <c r="F52" s="16"/>
      <c r="G52" s="19"/>
    </row>
    <row r="53" spans="2:7">
      <c r="B53" s="14"/>
      <c r="C53" s="16"/>
      <c r="D53" s="16"/>
      <c r="E53" s="16"/>
      <c r="F53" s="16"/>
      <c r="G53" s="19"/>
    </row>
    <row r="54" spans="2:7">
      <c r="B54" s="14"/>
      <c r="C54" s="16"/>
      <c r="D54" s="16"/>
      <c r="E54" s="16"/>
      <c r="F54" s="16"/>
      <c r="G54" s="19"/>
    </row>
    <row r="55" spans="2:7">
      <c r="B55" s="20"/>
      <c r="C55" s="22"/>
      <c r="D55" s="22"/>
      <c r="E55" s="22"/>
      <c r="F55" s="22"/>
      <c r="G55" s="23"/>
    </row>
  </sheetData>
  <mergeCells count="1">
    <mergeCell ref="B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9"/>
  <sheetViews>
    <sheetView workbookViewId="0">
      <selection activeCell="I20" sqref="I20"/>
    </sheetView>
  </sheetViews>
  <sheetFormatPr defaultRowHeight="14.4"/>
  <cols>
    <col min="1" max="1" width="11.77734375" style="13" customWidth="1"/>
    <col min="2" max="2" width="12.5546875" style="13" customWidth="1"/>
    <col min="3" max="3" width="15.88671875" style="13" customWidth="1"/>
    <col min="4" max="6" width="14.5546875" style="13" customWidth="1"/>
    <col min="7" max="7" width="19.109375" style="13" customWidth="1"/>
    <col min="8" max="9" width="14.5546875" style="13" customWidth="1"/>
    <col min="10" max="12" width="8.88671875" style="13"/>
    <col min="13" max="13" width="18" style="13" customWidth="1"/>
    <col min="14" max="16384" width="8.88671875" style="13"/>
  </cols>
  <sheetData>
    <row r="1" spans="1:9" ht="21.6" thickBot="1">
      <c r="A1" s="83" t="s">
        <v>498</v>
      </c>
      <c r="B1" s="84"/>
      <c r="C1" s="84"/>
      <c r="D1" s="84"/>
      <c r="E1" s="84"/>
      <c r="F1" s="84"/>
      <c r="G1" s="84"/>
      <c r="H1" s="84"/>
      <c r="I1" s="85"/>
    </row>
    <row r="2" spans="1:9" ht="18.600000000000001" thickBot="1">
      <c r="A2" s="86" t="s">
        <v>499</v>
      </c>
      <c r="B2" s="87"/>
      <c r="C2" s="87"/>
      <c r="D2" s="87"/>
      <c r="E2" s="87"/>
      <c r="F2" s="87"/>
      <c r="G2" s="87"/>
      <c r="H2" s="87"/>
      <c r="I2" s="88"/>
    </row>
    <row r="3" spans="1:9" ht="16.2" thickBot="1">
      <c r="A3" s="57" t="s">
        <v>482</v>
      </c>
      <c r="B3" s="58" t="s">
        <v>501</v>
      </c>
      <c r="C3" s="58" t="s">
        <v>500</v>
      </c>
      <c r="D3" s="58" t="s">
        <v>502</v>
      </c>
      <c r="E3" s="60" t="s">
        <v>519</v>
      </c>
      <c r="F3" s="60" t="s">
        <v>520</v>
      </c>
      <c r="G3" s="60" t="s">
        <v>517</v>
      </c>
      <c r="H3" s="59" t="s">
        <v>503</v>
      </c>
      <c r="I3" s="59" t="s">
        <v>516</v>
      </c>
    </row>
    <row r="4" spans="1:9">
      <c r="A4" s="51">
        <v>46181</v>
      </c>
      <c r="B4" s="52" t="s">
        <v>504</v>
      </c>
      <c r="C4" s="63">
        <v>36363</v>
      </c>
      <c r="D4" s="52" t="s">
        <v>497</v>
      </c>
      <c r="E4" s="53">
        <f>Table5[[#This Row],[BILL AMOUNT]]</f>
        <v>36363</v>
      </c>
      <c r="F4" s="53"/>
      <c r="G4" s="61">
        <f>Table5[[#This Row],[PENDING Amt.]]-Table5[[#This Row],[PASS Amt.]]</f>
        <v>36363</v>
      </c>
      <c r="H4" s="53" t="s">
        <v>518</v>
      </c>
      <c r="I4" s="54"/>
    </row>
    <row r="5" spans="1:9">
      <c r="A5" s="55">
        <v>46185</v>
      </c>
      <c r="B5" s="16" t="s">
        <v>505</v>
      </c>
      <c r="C5" s="64">
        <v>61342</v>
      </c>
      <c r="D5" s="16" t="s">
        <v>497</v>
      </c>
      <c r="E5" s="53">
        <f>Table5[[#This Row],[BILL AMOUNT]]</f>
        <v>61342</v>
      </c>
      <c r="F5" s="19"/>
      <c r="G5" s="62">
        <f>G4+Table5[[#This Row],[PENDING Amt.]]-Table5[[#This Row],[PASS Amt.]]</f>
        <v>97705</v>
      </c>
      <c r="H5" s="19" t="s">
        <v>518</v>
      </c>
      <c r="I5" s="56"/>
    </row>
    <row r="6" spans="1:9">
      <c r="A6" s="55">
        <v>46189</v>
      </c>
      <c r="B6" s="16" t="s">
        <v>506</v>
      </c>
      <c r="C6" s="64">
        <v>148316</v>
      </c>
      <c r="D6" s="16" t="s">
        <v>507</v>
      </c>
      <c r="E6" s="53">
        <f>Table5[[#This Row],[BILL AMOUNT]]</f>
        <v>148316</v>
      </c>
      <c r="F6" s="19"/>
      <c r="G6" s="62">
        <f>G5+Table5[[#This Row],[PENDING Amt.]]-Table5[[#This Row],[PASS Amt.]]</f>
        <v>246021</v>
      </c>
      <c r="H6" s="19" t="s">
        <v>518</v>
      </c>
      <c r="I6" s="56"/>
    </row>
    <row r="7" spans="1:9">
      <c r="A7" s="55">
        <v>46189</v>
      </c>
      <c r="B7" s="16" t="s">
        <v>508</v>
      </c>
      <c r="C7" s="64">
        <v>123885</v>
      </c>
      <c r="D7" s="16" t="s">
        <v>497</v>
      </c>
      <c r="E7" s="53">
        <f>Table5[[#This Row],[BILL AMOUNT]]</f>
        <v>123885</v>
      </c>
      <c r="F7" s="19"/>
      <c r="G7" s="62">
        <f>G6+Table5[[#This Row],[PENDING Amt.]]-Table5[[#This Row],[PASS Amt.]]</f>
        <v>369906</v>
      </c>
      <c r="H7" s="19" t="s">
        <v>518</v>
      </c>
      <c r="I7" s="56"/>
    </row>
    <row r="8" spans="1:9">
      <c r="A8" s="55">
        <v>46189</v>
      </c>
      <c r="B8" s="16" t="s">
        <v>509</v>
      </c>
      <c r="C8" s="64">
        <v>146784</v>
      </c>
      <c r="D8" s="16" t="s">
        <v>507</v>
      </c>
      <c r="E8" s="53">
        <f>Table5[[#This Row],[BILL AMOUNT]]</f>
        <v>146784</v>
      </c>
      <c r="F8" s="19"/>
      <c r="G8" s="62">
        <f>G7+Table5[[#This Row],[PENDING Amt.]]-Table5[[#This Row],[PASS Amt.]]</f>
        <v>516690</v>
      </c>
      <c r="H8" s="19" t="s">
        <v>518</v>
      </c>
      <c r="I8" s="56"/>
    </row>
    <row r="9" spans="1:9">
      <c r="A9" s="55">
        <v>46191</v>
      </c>
      <c r="B9" s="16" t="s">
        <v>510</v>
      </c>
      <c r="C9" s="64">
        <v>132430</v>
      </c>
      <c r="D9" s="16" t="s">
        <v>507</v>
      </c>
      <c r="E9" s="53">
        <f>Table5[[#This Row],[BILL AMOUNT]]</f>
        <v>132430</v>
      </c>
      <c r="F9" s="19"/>
      <c r="G9" s="62">
        <f>G8+Table5[[#This Row],[PENDING Amt.]]-Table5[[#This Row],[PASS Amt.]]</f>
        <v>649120</v>
      </c>
      <c r="H9" s="19" t="s">
        <v>518</v>
      </c>
      <c r="I9" s="56"/>
    </row>
    <row r="10" spans="1:9">
      <c r="A10" s="55">
        <v>46191</v>
      </c>
      <c r="B10" s="16" t="s">
        <v>511</v>
      </c>
      <c r="C10" s="64">
        <v>169377</v>
      </c>
      <c r="D10" s="16" t="s">
        <v>497</v>
      </c>
      <c r="E10" s="53">
        <f>Table5[[#This Row],[BILL AMOUNT]]</f>
        <v>169377</v>
      </c>
      <c r="F10" s="19"/>
      <c r="G10" s="62">
        <f>G9+Table5[[#This Row],[PENDING Amt.]]-Table5[[#This Row],[PASS Amt.]]</f>
        <v>818497</v>
      </c>
      <c r="H10" s="19" t="s">
        <v>518</v>
      </c>
      <c r="I10" s="56"/>
    </row>
    <row r="11" spans="1:9">
      <c r="A11" s="55">
        <v>46197</v>
      </c>
      <c r="B11" s="16" t="s">
        <v>512</v>
      </c>
      <c r="C11" s="64">
        <v>126860</v>
      </c>
      <c r="D11" s="16" t="s">
        <v>497</v>
      </c>
      <c r="E11" s="53">
        <f>Table5[[#This Row],[BILL AMOUNT]]</f>
        <v>126860</v>
      </c>
      <c r="F11" s="19"/>
      <c r="G11" s="62">
        <f>G10+Table5[[#This Row],[PENDING Amt.]]-Table5[[#This Row],[PASS Amt.]]</f>
        <v>945357</v>
      </c>
      <c r="H11" s="19" t="s">
        <v>518</v>
      </c>
      <c r="I11" s="56"/>
    </row>
    <row r="12" spans="1:9">
      <c r="A12" s="55">
        <v>46197</v>
      </c>
      <c r="B12" s="16" t="s">
        <v>513</v>
      </c>
      <c r="C12" s="64">
        <v>200561</v>
      </c>
      <c r="D12" s="16" t="s">
        <v>497</v>
      </c>
      <c r="E12" s="53">
        <f>Table5[[#This Row],[BILL AMOUNT]]</f>
        <v>200561</v>
      </c>
      <c r="F12" s="19"/>
      <c r="G12" s="62">
        <f>G11+Table5[[#This Row],[PENDING Amt.]]-Table5[[#This Row],[PASS Amt.]]</f>
        <v>1145918</v>
      </c>
      <c r="H12" s="19" t="s">
        <v>518</v>
      </c>
      <c r="I12" s="56"/>
    </row>
    <row r="13" spans="1:9">
      <c r="A13" s="55">
        <v>46198</v>
      </c>
      <c r="B13" s="16" t="s">
        <v>514</v>
      </c>
      <c r="C13" s="64">
        <v>87000</v>
      </c>
      <c r="D13" s="16" t="s">
        <v>507</v>
      </c>
      <c r="E13" s="53">
        <f>Table5[[#This Row],[BILL AMOUNT]]</f>
        <v>87000</v>
      </c>
      <c r="F13" s="19"/>
      <c r="G13" s="62">
        <f>G12+Table5[[#This Row],[PENDING Amt.]]-Table5[[#This Row],[PASS Amt.]]</f>
        <v>1232918</v>
      </c>
      <c r="H13" s="19" t="s">
        <v>518</v>
      </c>
      <c r="I13" s="56"/>
    </row>
    <row r="14" spans="1:9">
      <c r="A14" s="55">
        <v>46198</v>
      </c>
      <c r="B14" s="16" t="s">
        <v>515</v>
      </c>
      <c r="C14" s="64">
        <v>222436</v>
      </c>
      <c r="D14" s="16" t="s">
        <v>507</v>
      </c>
      <c r="E14" s="53">
        <f>Table5[[#This Row],[BILL AMOUNT]]</f>
        <v>222436</v>
      </c>
      <c r="F14" s="19"/>
      <c r="G14" s="62">
        <f>G13+Table5[[#This Row],[PENDING Amt.]]-Table5[[#This Row],[PASS Amt.]]</f>
        <v>1455354</v>
      </c>
      <c r="H14" s="19" t="s">
        <v>518</v>
      </c>
      <c r="I14" s="56"/>
    </row>
    <row r="15" spans="1:9">
      <c r="A15" s="44"/>
      <c r="B15" s="43"/>
      <c r="C15" s="65"/>
      <c r="D15" s="43"/>
      <c r="E15" s="49"/>
      <c r="F15" s="49"/>
      <c r="G15" s="62">
        <f>G14+Table5[[#This Row],[PENDING Amt.]]-Table5[[#This Row],[PASS Amt.]]</f>
        <v>1455354</v>
      </c>
      <c r="H15" s="49"/>
      <c r="I15" s="45"/>
    </row>
    <row r="16" spans="1:9">
      <c r="A16" s="44"/>
      <c r="B16" s="43"/>
      <c r="C16" s="65"/>
      <c r="D16" s="43"/>
      <c r="E16" s="49"/>
      <c r="F16" s="49"/>
      <c r="G16" s="62">
        <f>G15+Table5[[#This Row],[PENDING Amt.]]-Table5[[#This Row],[PASS Amt.]]</f>
        <v>1455354</v>
      </c>
      <c r="H16" s="49"/>
      <c r="I16" s="45"/>
    </row>
    <row r="17" spans="1:13">
      <c r="A17" s="44"/>
      <c r="B17" s="43"/>
      <c r="C17" s="65"/>
      <c r="D17" s="43"/>
      <c r="E17" s="49"/>
      <c r="F17" s="49"/>
      <c r="G17" s="62">
        <f>G16+Table5[[#This Row],[PENDING Amt.]]-Table5[[#This Row],[PASS Amt.]]</f>
        <v>1455354</v>
      </c>
      <c r="H17" s="49"/>
      <c r="I17" s="45"/>
      <c r="M17" s="13">
        <f>36</f>
        <v>36</v>
      </c>
    </row>
    <row r="18" spans="1:13">
      <c r="A18" s="44"/>
      <c r="B18" s="43"/>
      <c r="C18" s="65"/>
      <c r="D18" s="43"/>
      <c r="E18" s="49"/>
      <c r="F18" s="49"/>
      <c r="G18" s="62">
        <f>G17+Table5[[#This Row],[PENDING Amt.]]-Table5[[#This Row],[PASS Amt.]]</f>
        <v>1455354</v>
      </c>
      <c r="H18" s="49"/>
      <c r="I18" s="45"/>
      <c r="M18" s="13">
        <f>36363+61342+123885</f>
        <v>221590</v>
      </c>
    </row>
    <row r="19" spans="1:13">
      <c r="A19" s="44"/>
      <c r="B19" s="43"/>
      <c r="C19" s="65"/>
      <c r="D19" s="43"/>
      <c r="E19" s="49"/>
      <c r="F19" s="49"/>
      <c r="G19" s="62">
        <f>G18+Table5[[#This Row],[PENDING Amt.]]-Table5[[#This Row],[PASS Amt.]]</f>
        <v>1455354</v>
      </c>
      <c r="H19" s="49"/>
      <c r="I19" s="45"/>
    </row>
    <row r="20" spans="1:13">
      <c r="A20" s="44"/>
      <c r="B20" s="43"/>
      <c r="C20" s="65"/>
      <c r="D20" s="43"/>
      <c r="E20" s="49"/>
      <c r="F20" s="49"/>
      <c r="G20" s="62">
        <f>G19+Table5[[#This Row],[PENDING Amt.]]-Table5[[#This Row],[PASS Amt.]]</f>
        <v>1455354</v>
      </c>
      <c r="H20" s="49"/>
      <c r="I20" s="45"/>
    </row>
    <row r="21" spans="1:13">
      <c r="A21" s="44"/>
      <c r="B21" s="43"/>
      <c r="C21" s="65"/>
      <c r="D21" s="43"/>
      <c r="E21" s="49"/>
      <c r="F21" s="49"/>
      <c r="G21" s="62">
        <f>G20+Table5[[#This Row],[PENDING Amt.]]-Table5[[#This Row],[PASS Amt.]]</f>
        <v>1455354</v>
      </c>
      <c r="H21" s="49"/>
      <c r="I21" s="45"/>
    </row>
    <row r="22" spans="1:13">
      <c r="A22" s="44"/>
      <c r="B22" s="43"/>
      <c r="C22" s="65"/>
      <c r="D22" s="43"/>
      <c r="E22" s="49"/>
      <c r="F22" s="49"/>
      <c r="G22" s="62">
        <f>G21+Table5[[#This Row],[PENDING Amt.]]-Table5[[#This Row],[PASS Amt.]]</f>
        <v>1455354</v>
      </c>
      <c r="H22" s="49"/>
      <c r="I22" s="45"/>
    </row>
    <row r="23" spans="1:13">
      <c r="A23" s="44"/>
      <c r="B23" s="43"/>
      <c r="C23" s="65"/>
      <c r="D23" s="43"/>
      <c r="E23" s="49"/>
      <c r="F23" s="49"/>
      <c r="G23" s="62">
        <f>G22+Table5[[#This Row],[PENDING Amt.]]-Table5[[#This Row],[PASS Amt.]]</f>
        <v>1455354</v>
      </c>
      <c r="H23" s="49"/>
      <c r="I23" s="45"/>
    </row>
    <row r="24" spans="1:13">
      <c r="A24" s="44"/>
      <c r="B24" s="43"/>
      <c r="C24" s="65"/>
      <c r="D24" s="43"/>
      <c r="E24" s="49"/>
      <c r="F24" s="49"/>
      <c r="G24" s="62">
        <f>G23+Table5[[#This Row],[PENDING Amt.]]-Table5[[#This Row],[PASS Amt.]]</f>
        <v>1455354</v>
      </c>
      <c r="H24" s="49"/>
      <c r="I24" s="45"/>
    </row>
    <row r="25" spans="1:13">
      <c r="A25" s="44"/>
      <c r="B25" s="43"/>
      <c r="C25" s="65"/>
      <c r="D25" s="43"/>
      <c r="E25" s="49"/>
      <c r="F25" s="49"/>
      <c r="G25" s="62">
        <f>G24+Table5[[#This Row],[PENDING Amt.]]-Table5[[#This Row],[PASS Amt.]]</f>
        <v>1455354</v>
      </c>
      <c r="H25" s="49"/>
      <c r="I25" s="45"/>
    </row>
    <row r="26" spans="1:13">
      <c r="A26" s="44"/>
      <c r="B26" s="43"/>
      <c r="C26" s="65"/>
      <c r="D26" s="43"/>
      <c r="E26" s="49"/>
      <c r="F26" s="49"/>
      <c r="G26" s="62">
        <f>G25+Table5[[#This Row],[PENDING Amt.]]-Table5[[#This Row],[PASS Amt.]]</f>
        <v>1455354</v>
      </c>
      <c r="H26" s="49"/>
      <c r="I26" s="45"/>
    </row>
    <row r="27" spans="1:13">
      <c r="A27" s="44"/>
      <c r="B27" s="43"/>
      <c r="C27" s="65"/>
      <c r="D27" s="43"/>
      <c r="E27" s="49"/>
      <c r="F27" s="49"/>
      <c r="G27" s="62">
        <f>G26+Table5[[#This Row],[PENDING Amt.]]-Table5[[#This Row],[PASS Amt.]]</f>
        <v>1455354</v>
      </c>
      <c r="H27" s="49"/>
      <c r="I27" s="45"/>
    </row>
    <row r="28" spans="1:13">
      <c r="A28" s="44"/>
      <c r="B28" s="43"/>
      <c r="C28" s="65"/>
      <c r="D28" s="43"/>
      <c r="E28" s="49"/>
      <c r="F28" s="49"/>
      <c r="G28" s="62">
        <f>G27+Table5[[#This Row],[PENDING Amt.]]-Table5[[#This Row],[PASS Amt.]]</f>
        <v>1455354</v>
      </c>
      <c r="H28" s="49"/>
      <c r="I28" s="45"/>
    </row>
    <row r="29" spans="1:13">
      <c r="A29" s="44"/>
      <c r="B29" s="43"/>
      <c r="C29" s="65"/>
      <c r="D29" s="43"/>
      <c r="E29" s="49"/>
      <c r="F29" s="49"/>
      <c r="G29" s="62">
        <f>G28+Table5[[#This Row],[PENDING Amt.]]-Table5[[#This Row],[PASS Amt.]]</f>
        <v>1455354</v>
      </c>
      <c r="H29" s="49"/>
      <c r="I29" s="45"/>
    </row>
    <row r="30" spans="1:13">
      <c r="A30" s="44"/>
      <c r="B30" s="43"/>
      <c r="C30" s="65"/>
      <c r="D30" s="43"/>
      <c r="E30" s="49"/>
      <c r="F30" s="49"/>
      <c r="G30" s="62">
        <f>G29+Table5[[#This Row],[PENDING Amt.]]-Table5[[#This Row],[PASS Amt.]]</f>
        <v>1455354</v>
      </c>
      <c r="H30" s="49"/>
      <c r="I30" s="45"/>
    </row>
    <row r="31" spans="1:13">
      <c r="A31" s="44"/>
      <c r="B31" s="43"/>
      <c r="C31" s="65"/>
      <c r="D31" s="43"/>
      <c r="E31" s="49"/>
      <c r="F31" s="49"/>
      <c r="G31" s="62">
        <f>G30+Table5[[#This Row],[PENDING Amt.]]-Table5[[#This Row],[PASS Amt.]]</f>
        <v>1455354</v>
      </c>
      <c r="H31" s="49"/>
      <c r="I31" s="45"/>
    </row>
    <row r="32" spans="1:13">
      <c r="A32" s="44"/>
      <c r="B32" s="43"/>
      <c r="C32" s="65"/>
      <c r="D32" s="43"/>
      <c r="E32" s="49"/>
      <c r="F32" s="49"/>
      <c r="G32" s="62">
        <f>G31+Table5[[#This Row],[PENDING Amt.]]-Table5[[#This Row],[PASS Amt.]]</f>
        <v>1455354</v>
      </c>
      <c r="H32" s="49"/>
      <c r="I32" s="45"/>
    </row>
    <row r="33" spans="1:9">
      <c r="A33" s="44"/>
      <c r="B33" s="43"/>
      <c r="C33" s="65"/>
      <c r="D33" s="43"/>
      <c r="E33" s="49"/>
      <c r="F33" s="49"/>
      <c r="G33" s="62">
        <f>G32+Table5[[#This Row],[PENDING Amt.]]-Table5[[#This Row],[PASS Amt.]]</f>
        <v>1455354</v>
      </c>
      <c r="H33" s="49"/>
      <c r="I33" s="45"/>
    </row>
    <row r="34" spans="1:9">
      <c r="A34" s="44"/>
      <c r="B34" s="43"/>
      <c r="C34" s="65"/>
      <c r="D34" s="43"/>
      <c r="E34" s="49"/>
      <c r="F34" s="49"/>
      <c r="G34" s="62">
        <f>G33+Table5[[#This Row],[PENDING Amt.]]-Table5[[#This Row],[PASS Amt.]]</f>
        <v>1455354</v>
      </c>
      <c r="H34" s="49"/>
      <c r="I34" s="45"/>
    </row>
    <row r="35" spans="1:9">
      <c r="A35" s="44"/>
      <c r="B35" s="43"/>
      <c r="C35" s="65"/>
      <c r="D35" s="43"/>
      <c r="E35" s="49"/>
      <c r="F35" s="49"/>
      <c r="G35" s="62">
        <f>G34+Table5[[#This Row],[PENDING Amt.]]-Table5[[#This Row],[PASS Amt.]]</f>
        <v>1455354</v>
      </c>
      <c r="H35" s="49"/>
      <c r="I35" s="45"/>
    </row>
    <row r="36" spans="1:9">
      <c r="A36" s="44"/>
      <c r="B36" s="43"/>
      <c r="C36" s="65"/>
      <c r="D36" s="43"/>
      <c r="E36" s="49"/>
      <c r="F36" s="49"/>
      <c r="G36" s="62">
        <f>G35+Table5[[#This Row],[PENDING Amt.]]-Table5[[#This Row],[PASS Amt.]]</f>
        <v>1455354</v>
      </c>
      <c r="H36" s="49"/>
      <c r="I36" s="45"/>
    </row>
    <row r="37" spans="1:9">
      <c r="A37" s="44"/>
      <c r="B37" s="43"/>
      <c r="C37" s="65"/>
      <c r="D37" s="43"/>
      <c r="E37" s="49"/>
      <c r="F37" s="49"/>
      <c r="G37" s="62">
        <f>G36+Table5[[#This Row],[PENDING Amt.]]-Table5[[#This Row],[PASS Amt.]]</f>
        <v>1455354</v>
      </c>
      <c r="H37" s="49"/>
      <c r="I37" s="45"/>
    </row>
    <row r="38" spans="1:9">
      <c r="A38" s="44"/>
      <c r="B38" s="43"/>
      <c r="C38" s="65"/>
      <c r="D38" s="43"/>
      <c r="E38" s="49"/>
      <c r="F38" s="49"/>
      <c r="G38" s="62">
        <f>G37+Table5[[#This Row],[PENDING Amt.]]-Table5[[#This Row],[PASS Amt.]]</f>
        <v>1455354</v>
      </c>
      <c r="H38" s="49"/>
      <c r="I38" s="45"/>
    </row>
    <row r="39" spans="1:9" ht="15" thickBot="1">
      <c r="A39" s="46"/>
      <c r="B39" s="47"/>
      <c r="C39" s="66"/>
      <c r="D39" s="47"/>
      <c r="E39" s="67"/>
      <c r="F39" s="67"/>
      <c r="G39" s="62">
        <f>G38+Table5[[#This Row],[PENDING Amt.]]-Table5[[#This Row],[PASS Amt.]]</f>
        <v>1455354</v>
      </c>
      <c r="H39" s="50"/>
      <c r="I39" s="48"/>
    </row>
  </sheetData>
  <mergeCells count="2">
    <mergeCell ref="A1:I1"/>
    <mergeCell ref="A2:I2"/>
  </mergeCells>
  <pageMargins left="0.7" right="0.7" top="0.75" bottom="0.75" header="0.3" footer="0.3"/>
  <pageSetup scale="5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 details</vt:lpstr>
      <vt:lpstr>PAYMENT</vt:lpstr>
      <vt:lpstr>PUMP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singh</dc:creator>
  <cp:lastModifiedBy>vikas singh</cp:lastModifiedBy>
  <cp:lastPrinted>2026-06-26T05:30:25Z</cp:lastPrinted>
  <dcterms:created xsi:type="dcterms:W3CDTF">2026-06-23T09:33:10Z</dcterms:created>
  <dcterms:modified xsi:type="dcterms:W3CDTF">2026-06-28T05:03:43Z</dcterms:modified>
</cp:coreProperties>
</file>