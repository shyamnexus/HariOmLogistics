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p Log" sheetId="2" state="visible" r:id="rId2"/>
    <sheet name="Owner Ledger" sheetId="3" state="visible" r:id="rId3"/>
    <sheet name="Freight Bills" sheetId="4" state="visible" r:id="rId4"/>
    <sheet name="Payments" sheetId="5" state="visible" r:id="rId5"/>
    <sheet name="Statements" sheetId="6" state="visible" r:id="rId6"/>
    <sheet name="Pump Account" sheetId="7" state="visible" r:id="rId7"/>
    <sheet name="Master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DD-MMM-YYYY HH:MM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  <font>
      <i val="1"/>
      <color rgb="00666666"/>
      <sz val="10"/>
    </font>
    <font>
      <b val="1"/>
    </font>
    <font>
      <i val="1"/>
    </font>
    <font>
      <color rgb="00444444"/>
      <sz val="10"/>
    </font>
    <font>
      <name val="Courier New"/>
      <sz val="10"/>
    </font>
    <font>
      <name val="Courier New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1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HARIOM LOGISTICS — DASHBOARD</t>
        </is>
      </c>
    </row>
    <row r="3">
      <c r="A3" s="2" t="inlineStr">
        <is>
          <t>Total Trips</t>
        </is>
      </c>
      <c r="B3" s="1">
        <f>COUNTA('Trip Log'!A4:A502)</f>
        <v/>
      </c>
    </row>
    <row r="5">
      <c r="A5" s="2" t="inlineStr">
        <is>
          <t>Total Freight (All Trips)</t>
        </is>
      </c>
      <c r="B5" s="3">
        <f>SUM('Trip Log'!I4:I502)</f>
        <v/>
      </c>
    </row>
    <row r="7">
      <c r="A7" s="2" t="inlineStr">
        <is>
          <t>Outstanding Owner Balance</t>
        </is>
      </c>
      <c r="B7" s="3">
        <f>SUM('Owner Ledger'!H5:H9)</f>
        <v/>
      </c>
    </row>
    <row r="9">
      <c r="A9" s="2" t="inlineStr">
        <is>
          <t>Pending Freight Bills</t>
        </is>
      </c>
      <c r="B9" s="3">
        <f>SUM('Freight Bills'!J5:J34)</f>
        <v/>
      </c>
    </row>
    <row r="11">
      <c r="A11" s="2" t="inlineStr">
        <is>
          <t>Trips Missing PAHUNCH</t>
        </is>
      </c>
      <c r="B11" s="1">
        <f>COUNTIFS('Trip Log'!P4:P502,"",'Trip Log'!I4:I502,"&gt;0")</f>
        <v/>
      </c>
    </row>
    <row r="13">
      <c r="A13" s="2" t="inlineStr">
        <is>
          <t>Trips Missing Bill Ref</t>
        </is>
      </c>
      <c r="B13" s="1">
        <f>COUNTIFS('Trip Log'!Q4:Q502,"",'Trip Log'!I4:I502,"&gt;0")</f>
        <v/>
      </c>
    </row>
    <row r="16">
      <c r="A16" t="inlineStr">
        <is>
          <t>Last updated</t>
        </is>
      </c>
      <c r="B16" s="4" t="n">
        <v>46201.51878355152</v>
      </c>
    </row>
    <row r="19">
      <c r="A19" s="2" t="inlineStr">
        <is>
          <t>HOW TO USE</t>
        </is>
      </c>
    </row>
    <row r="20">
      <c r="A20" s="5" t="inlineStr">
        <is>
          <t>1. Trip Log: pick Party, Destination &amp; Truck from dropdowns — Owner, Commission &amp; Balance auto-fill.</t>
        </is>
      </c>
    </row>
    <row r="21">
      <c r="A21" s="5" t="inlineStr">
        <is>
          <t>2. Freight Bills: set Trip Bill Ref (e.g. 11, 4 EPOD) — BILL AMOUNT auto-sums matching trips.</t>
        </is>
      </c>
    </row>
    <row r="22">
      <c r="A22" s="5" t="inlineStr">
        <is>
          <t>3. Payments: always select Owner so Owner Ledger stays accurate.</t>
        </is>
      </c>
    </row>
    <row r="23">
      <c r="A23" s="5" t="inlineStr">
        <is>
          <t>4. Master Data: add new parties, trucks, or destinations here — dropdowns update automatically.</t>
        </is>
      </c>
    </row>
    <row r="24">
      <c r="A24" s="5" t="inlineStr">
        <is>
          <t>5. Yellow rows = PAHUNCH overdue. Red rows = Bill Ref missing on a trip with freight.</t>
        </is>
      </c>
    </row>
  </sheetData>
  <mergeCells count="6">
    <mergeCell ref="A1:D1"/>
    <mergeCell ref="A23:D23"/>
    <mergeCell ref="A22:D22"/>
    <mergeCell ref="A20:D20"/>
    <mergeCell ref="A21:D21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8" customWidth="1" min="4" max="4"/>
    <col width="14" customWidth="1" min="5" max="5"/>
    <col width="14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1" customWidth="1" min="13" max="13"/>
    <col width="11" customWidth="1" min="14" max="14"/>
    <col width="10" customWidth="1" min="15" max="15"/>
    <col width="10" customWidth="1" min="16" max="16"/>
    <col width="12" customWidth="1" min="17" max="17"/>
    <col width="12" customWidth="1" min="18" max="18"/>
    <col width="12" customWidth="1" min="19" max="19"/>
    <col width="24" customWidth="1" min="20" max="20"/>
  </cols>
  <sheetData>
    <row r="1">
      <c r="A1" s="1" t="inlineStr">
        <is>
          <t>HARIOM LOGISTICS — TRIP LOG</t>
        </is>
      </c>
    </row>
    <row r="2">
      <c r="A2" s="6" t="inlineStr">
        <is>
          <t>Tip: Select Party, Destination &amp; Truck from dropdowns. Owner, Commission &amp; Balance auto-calculate. Yellow = PAHUNCH overdue. Red = Bill Ref missing.</t>
        </is>
      </c>
    </row>
    <row r="3">
      <c r="A3" s="7" t="inlineStr">
        <is>
          <t>LR No</t>
        </is>
      </c>
      <c r="B3" s="7" t="inlineStr">
        <is>
          <t>Date</t>
        </is>
      </c>
      <c r="C3" s="7" t="inlineStr">
        <is>
          <t>Sold To Party</t>
        </is>
      </c>
      <c r="D3" s="7" t="inlineStr">
        <is>
          <t>Destination</t>
        </is>
      </c>
      <c r="E3" s="7" t="inlineStr">
        <is>
          <t>Truck No</t>
        </is>
      </c>
      <c r="F3" s="7" t="inlineStr">
        <is>
          <t>Owner Name</t>
        </is>
      </c>
      <c r="G3" s="7" t="inlineStr">
        <is>
          <t>Quantity</t>
        </is>
      </c>
      <c r="H3" s="7" t="inlineStr">
        <is>
          <t>Rate</t>
        </is>
      </c>
      <c r="I3" s="7" t="inlineStr">
        <is>
          <t>Freight</t>
        </is>
      </c>
      <c r="J3" s="7" t="inlineStr">
        <is>
          <t>Diesel</t>
        </is>
      </c>
      <c r="K3" s="7" t="inlineStr">
        <is>
          <t>Cash</t>
        </is>
      </c>
      <c r="L3" s="7" t="inlineStr">
        <is>
          <t>Total Advance</t>
        </is>
      </c>
      <c r="M3" s="7" t="inlineStr">
        <is>
          <t>Commission</t>
        </is>
      </c>
      <c r="N3" s="7" t="inlineStr">
        <is>
          <t>Munsiyana</t>
        </is>
      </c>
      <c r="O3" s="7" t="inlineStr">
        <is>
          <t>Balance</t>
        </is>
      </c>
      <c r="P3" s="7" t="inlineStr">
        <is>
          <t>PAHUNCH</t>
        </is>
      </c>
      <c r="Q3" s="7" t="inlineStr">
        <is>
          <t>Bill Ref</t>
        </is>
      </c>
      <c r="R3" s="7" t="inlineStr">
        <is>
          <t>Payment Date</t>
        </is>
      </c>
      <c r="S3" s="7" t="inlineStr">
        <is>
          <t>Payment Amt</t>
        </is>
      </c>
      <c r="T3" s="7" t="inlineStr">
        <is>
          <t>Particulars</t>
        </is>
      </c>
    </row>
    <row r="4">
      <c r="A4" t="n">
        <v>2</v>
      </c>
      <c r="B4" s="8" t="n">
        <v>46172.08696759259</v>
      </c>
      <c r="C4" t="inlineStr">
        <is>
          <t>TAMEER TRADERS</t>
        </is>
      </c>
      <c r="D4" t="inlineStr">
        <is>
          <t>SHAHJHANPUR</t>
        </is>
      </c>
      <c r="E4" t="inlineStr">
        <is>
          <t>UP25JT8804</t>
        </is>
      </c>
      <c r="F4">
        <f>IF(E4="","",XLOOKUP(E4,'Master Data'!$E$5:$E$15,'Master Data'!$F$5:$F$15,""))</f>
        <v/>
      </c>
      <c r="G4" t="n">
        <v>13</v>
      </c>
      <c r="H4" s="9" t="n">
        <v>468</v>
      </c>
      <c r="I4" s="9">
        <f>IF(OR(G4="",H4=""),"",G4*H4)</f>
        <v/>
      </c>
      <c r="J4" s="9" t="n"/>
      <c r="K4" s="9" t="n"/>
      <c r="L4" s="9">
        <f>IF(I4="","",I4-IF(J4="",0,J4)-IF(K4="",0,K4))</f>
        <v/>
      </c>
      <c r="M4" s="9">
        <f>IF(E4="","",XLOOKUP(E4,'Master Data'!$E$5:$E$15,'Master Data'!$G$5:$G$15,0))</f>
        <v/>
      </c>
      <c r="N4" s="9">
        <f>IF(E4="","",XLOOKUP(E4,'Master Data'!$E$5:$E$15,'Master Data'!$H$5:$H$15,0))</f>
        <v/>
      </c>
      <c r="O4" s="9">
        <f>IF(L4="","",L4-M4-N4)</f>
        <v/>
      </c>
      <c r="P4" t="inlineStr">
        <is>
          <t>YES</t>
        </is>
      </c>
      <c r="Q4" t="inlineStr">
        <is>
          <t>1 EPOD</t>
        </is>
      </c>
      <c r="S4" s="9" t="n"/>
    </row>
    <row r="5">
      <c r="A5" t="n">
        <v>4</v>
      </c>
      <c r="B5" s="8" t="n">
        <v>46172.54515046296</v>
      </c>
      <c r="C5" t="inlineStr">
        <is>
          <t>JUNEJA TRADERS</t>
        </is>
      </c>
      <c r="D5" t="inlineStr">
        <is>
          <t>BUDAUN</t>
        </is>
      </c>
      <c r="E5" t="inlineStr">
        <is>
          <t>UP25CT2572</t>
        </is>
      </c>
      <c r="F5">
        <f>IF(E5="","",XLOOKUP(E5,'Master Data'!$E$5:$E$15,'Master Data'!$F$5:$F$15,""))</f>
        <v/>
      </c>
      <c r="G5" t="n">
        <v>20</v>
      </c>
      <c r="H5" s="9" t="n">
        <v>364</v>
      </c>
      <c r="I5" s="9">
        <f>IF(OR(G5="",H5=""),"",G5*H5)</f>
        <v/>
      </c>
      <c r="J5" s="9" t="n"/>
      <c r="K5" s="9" t="n"/>
      <c r="L5" s="9">
        <f>IF(I5="","",I5-IF(J5="",0,J5)-IF(K5="",0,K5))</f>
        <v/>
      </c>
      <c r="M5" s="9">
        <f>IF(E5="","",XLOOKUP(E5,'Master Data'!$E$5:$E$15,'Master Data'!$G$5:$G$15,0))</f>
        <v/>
      </c>
      <c r="N5" s="9">
        <f>IF(E5="","",XLOOKUP(E5,'Master Data'!$E$5:$E$15,'Master Data'!$H$5:$H$15,0))</f>
        <v/>
      </c>
      <c r="O5" s="9">
        <f>IF(L5="","",L5-M5-N5)</f>
        <v/>
      </c>
      <c r="P5" t="inlineStr">
        <is>
          <t>YES</t>
        </is>
      </c>
      <c r="Q5" t="inlineStr">
        <is>
          <t>4 EPOD</t>
        </is>
      </c>
      <c r="S5" s="9" t="n"/>
    </row>
    <row r="6">
      <c r="A6" t="n">
        <v>3</v>
      </c>
      <c r="B6" s="8" t="n">
        <v>46172.12866898148</v>
      </c>
      <c r="C6" t="inlineStr">
        <is>
          <t>JAI BHARAT ENTERPRISES (SIS)</t>
        </is>
      </c>
      <c r="D6" t="inlineStr">
        <is>
          <t>SHAHBAZ NAGAR</t>
        </is>
      </c>
      <c r="E6" t="inlineStr">
        <is>
          <t>UP25JT8802</t>
        </is>
      </c>
      <c r="F6">
        <f>IF(E6="","",XLOOKUP(E6,'Master Data'!$E$5:$E$15,'Master Data'!$F$5:$F$15,""))</f>
        <v/>
      </c>
      <c r="G6" t="n">
        <v>13</v>
      </c>
      <c r="H6" s="9" t="n">
        <v>367</v>
      </c>
      <c r="I6" s="9">
        <f>IF(OR(G6="",H6=""),"",G6*H6)</f>
        <v/>
      </c>
      <c r="J6" s="9" t="n"/>
      <c r="K6" s="9" t="n"/>
      <c r="L6" s="9">
        <f>IF(I6="","",I6-IF(J6="",0,J6)-IF(K6="",0,K6))</f>
        <v/>
      </c>
      <c r="M6" s="9">
        <f>IF(E6="","",XLOOKUP(E6,'Master Data'!$E$5:$E$15,'Master Data'!$G$5:$G$15,0))</f>
        <v/>
      </c>
      <c r="N6" s="9">
        <f>IF(E6="","",XLOOKUP(E6,'Master Data'!$E$5:$E$15,'Master Data'!$H$5:$H$15,0))</f>
        <v/>
      </c>
      <c r="O6" s="9">
        <f>IF(L6="","",L6-M6-N6)</f>
        <v/>
      </c>
      <c r="P6" t="inlineStr">
        <is>
          <t>YES</t>
        </is>
      </c>
      <c r="Q6" t="inlineStr">
        <is>
          <t>1 EPOD</t>
        </is>
      </c>
      <c r="S6" s="9" t="n"/>
    </row>
    <row r="7">
      <c r="A7" t="n">
        <v>1</v>
      </c>
      <c r="B7" s="8" t="n">
        <v>46172.62854166667</v>
      </c>
      <c r="C7" t="inlineStr">
        <is>
          <t>RAFI KHAN BUILDING MATERIAL</t>
        </is>
      </c>
      <c r="D7" t="inlineStr">
        <is>
          <t>SHAHBAD (HARDOI)</t>
        </is>
      </c>
      <c r="E7" t="inlineStr">
        <is>
          <t>UP25JT8803</t>
        </is>
      </c>
      <c r="F7">
        <f>IF(E7="","",XLOOKUP(E7,'Master Data'!$E$5:$E$15,'Master Data'!$F$5:$F$15,""))</f>
        <v/>
      </c>
      <c r="G7" t="n">
        <v>13</v>
      </c>
      <c r="H7" s="9" t="n">
        <v>456</v>
      </c>
      <c r="I7" s="9">
        <f>IF(OR(G7="",H7=""),"",G7*H7)</f>
        <v/>
      </c>
      <c r="J7" s="9" t="n"/>
      <c r="K7" s="9" t="n"/>
      <c r="L7" s="9">
        <f>IF(I7="","",I7-IF(J7="",0,J7)-IF(K7="",0,K7))</f>
        <v/>
      </c>
      <c r="M7" s="9">
        <f>IF(E7="","",XLOOKUP(E7,'Master Data'!$E$5:$E$15,'Master Data'!$G$5:$G$15,0))</f>
        <v/>
      </c>
      <c r="N7" s="9">
        <f>IF(E7="","",XLOOKUP(E7,'Master Data'!$E$5:$E$15,'Master Data'!$H$5:$H$15,0))</f>
        <v/>
      </c>
      <c r="O7" s="9">
        <f>IF(L7="","",L7-M7-N7)</f>
        <v/>
      </c>
      <c r="Q7" t="inlineStr">
        <is>
          <t>3</t>
        </is>
      </c>
      <c r="S7" s="9" t="n"/>
    </row>
    <row r="8">
      <c r="A8" t="n">
        <v>5</v>
      </c>
      <c r="B8" s="8" t="n">
        <v>46173.67053240741</v>
      </c>
      <c r="C8" t="inlineStr">
        <is>
          <t>JAI BHARAT ENTERPRISES (SIS)</t>
        </is>
      </c>
      <c r="D8" t="inlineStr">
        <is>
          <t>KATRA</t>
        </is>
      </c>
      <c r="E8" t="inlineStr">
        <is>
          <t>UP25JT8802</t>
        </is>
      </c>
      <c r="F8">
        <f>IF(E8="","",XLOOKUP(E8,'Master Data'!$E$5:$E$15,'Master Data'!$F$5:$F$15,""))</f>
        <v/>
      </c>
      <c r="G8" t="n">
        <v>13</v>
      </c>
      <c r="H8" s="9" t="n">
        <v>225</v>
      </c>
      <c r="I8" s="9">
        <f>IF(OR(G8="",H8=""),"",G8*H8)</f>
        <v/>
      </c>
      <c r="J8" s="9" t="n"/>
      <c r="K8" s="9" t="n"/>
      <c r="L8" s="9">
        <f>IF(I8="","",I8-IF(J8="",0,J8)-IF(K8="",0,K8))</f>
        <v/>
      </c>
      <c r="M8" s="9">
        <f>IF(E8="","",XLOOKUP(E8,'Master Data'!$E$5:$E$15,'Master Data'!$G$5:$G$15,0))</f>
        <v/>
      </c>
      <c r="N8" s="9">
        <f>IF(E8="","",XLOOKUP(E8,'Master Data'!$E$5:$E$15,'Master Data'!$H$5:$H$15,0))</f>
        <v/>
      </c>
      <c r="O8" s="9">
        <f>IF(L8="","",L8-M8-N8)</f>
        <v/>
      </c>
      <c r="P8" t="inlineStr">
        <is>
          <t>YES</t>
        </is>
      </c>
      <c r="Q8" t="inlineStr">
        <is>
          <t>1 EPOD</t>
        </is>
      </c>
      <c r="S8" s="9" t="n"/>
    </row>
    <row r="9">
      <c r="A9" t="n">
        <v>6</v>
      </c>
      <c r="B9" s="8" t="n">
        <v>46173.67059027778</v>
      </c>
      <c r="C9" t="inlineStr">
        <is>
          <t>SHIV TRADING COMPANY</t>
        </is>
      </c>
      <c r="D9" t="inlineStr">
        <is>
          <t>NIGOHI</t>
        </is>
      </c>
      <c r="E9" t="inlineStr">
        <is>
          <t>UP25JT8804</t>
        </is>
      </c>
      <c r="F9">
        <f>IF(E9="","",XLOOKUP(E9,'Master Data'!$E$5:$E$15,'Master Data'!$F$5:$F$15,""))</f>
        <v/>
      </c>
      <c r="G9" t="n">
        <v>13</v>
      </c>
      <c r="H9" s="9" t="n">
        <v>360</v>
      </c>
      <c r="I9" s="9">
        <f>IF(OR(G9="",H9=""),"",G9*H9)</f>
        <v/>
      </c>
      <c r="J9" s="9" t="n"/>
      <c r="K9" s="9" t="n"/>
      <c r="L9" s="9">
        <f>IF(I9="","",I9-IF(J9="",0,J9)-IF(K9="",0,K9))</f>
        <v/>
      </c>
      <c r="M9" s="9">
        <f>IF(E9="","",XLOOKUP(E9,'Master Data'!$E$5:$E$15,'Master Data'!$G$5:$G$15,0))</f>
        <v/>
      </c>
      <c r="N9" s="9">
        <f>IF(E9="","",XLOOKUP(E9,'Master Data'!$E$5:$E$15,'Master Data'!$H$5:$H$15,0))</f>
        <v/>
      </c>
      <c r="O9" s="9">
        <f>IF(L9="","",L9-M9-N9)</f>
        <v/>
      </c>
      <c r="P9" t="inlineStr">
        <is>
          <t>YES</t>
        </is>
      </c>
      <c r="Q9" t="inlineStr">
        <is>
          <t>2 EPOD</t>
        </is>
      </c>
      <c r="S9" s="9" t="n"/>
    </row>
    <row r="10">
      <c r="A10" t="n">
        <v>7</v>
      </c>
      <c r="B10" s="8" t="n">
        <v>46173.7541087963</v>
      </c>
      <c r="C10" t="inlineStr">
        <is>
          <t>BHARAT FERTILIZERS (SIS)</t>
        </is>
      </c>
      <c r="D10" t="inlineStr">
        <is>
          <t>KATRA</t>
        </is>
      </c>
      <c r="E10" t="inlineStr">
        <is>
          <t>UP25JT8803</t>
        </is>
      </c>
      <c r="F10">
        <f>IF(E10="","",XLOOKUP(E10,'Master Data'!$E$5:$E$15,'Master Data'!$F$5:$F$15,""))</f>
        <v/>
      </c>
      <c r="G10" t="n">
        <v>13</v>
      </c>
      <c r="H10" s="9" t="n">
        <v>225</v>
      </c>
      <c r="I10" s="9">
        <f>IF(OR(G10="",H10=""),"",G10*H10)</f>
        <v/>
      </c>
      <c r="J10" s="9" t="n"/>
      <c r="K10" s="9" t="n"/>
      <c r="L10" s="9">
        <f>IF(I10="","",I10-IF(J10="",0,J10)-IF(K10="",0,K10))</f>
        <v/>
      </c>
      <c r="M10" s="9">
        <f>IF(E10="","",XLOOKUP(E10,'Master Data'!$E$5:$E$15,'Master Data'!$G$5:$G$15,0))</f>
        <v/>
      </c>
      <c r="N10" s="9">
        <f>IF(E10="","",XLOOKUP(E10,'Master Data'!$E$5:$E$15,'Master Data'!$H$5:$H$15,0))</f>
        <v/>
      </c>
      <c r="O10" s="9">
        <f>IF(L10="","",L10-M10-N10)</f>
        <v/>
      </c>
      <c r="P10" t="inlineStr">
        <is>
          <t>YES</t>
        </is>
      </c>
      <c r="Q10" t="inlineStr">
        <is>
          <t>2 EPOD</t>
        </is>
      </c>
      <c r="S10" s="9" t="n"/>
    </row>
    <row r="11">
      <c r="A11" t="n">
        <v>8</v>
      </c>
      <c r="B11" s="8" t="n">
        <v>46174.75476851852</v>
      </c>
      <c r="C11" t="inlineStr">
        <is>
          <t>SHYAM NARAIN RAMESH KUMAR AND  SONS</t>
        </is>
      </c>
      <c r="D11" t="inlineStr">
        <is>
          <t>BHOJIPURA</t>
        </is>
      </c>
      <c r="E11" t="inlineStr">
        <is>
          <t>UP25CT2572</t>
        </is>
      </c>
      <c r="F11">
        <f>IF(E11="","",XLOOKUP(E11,'Master Data'!$E$5:$E$15,'Master Data'!$F$5:$F$15,""))</f>
        <v/>
      </c>
      <c r="G11" t="n">
        <v>10</v>
      </c>
      <c r="H11" s="9" t="n">
        <v>321</v>
      </c>
      <c r="I11" s="9">
        <f>IF(OR(G11="",H11=""),"",G11*H11)</f>
        <v/>
      </c>
      <c r="J11" s="9" t="n"/>
      <c r="K11" s="9" t="n"/>
      <c r="L11" s="9">
        <f>IF(I11="","",I11-IF(J11="",0,J11)-IF(K11="",0,K11))</f>
        <v/>
      </c>
      <c r="M11" s="9">
        <f>IF(E11="","",XLOOKUP(E11,'Master Data'!$E$5:$E$15,'Master Data'!$G$5:$G$15,0))</f>
        <v/>
      </c>
      <c r="N11" s="9">
        <f>IF(E11="","",XLOOKUP(E11,'Master Data'!$E$5:$E$15,'Master Data'!$H$5:$H$15,0))</f>
        <v/>
      </c>
      <c r="O11" s="9">
        <f>IF(L11="","",L11-M11-N11)</f>
        <v/>
      </c>
      <c r="Q11" t="inlineStr">
        <is>
          <t>6</t>
        </is>
      </c>
      <c r="S11" s="9" t="n"/>
    </row>
    <row r="12">
      <c r="A12" t="n">
        <v>9</v>
      </c>
      <c r="B12" s="8" t="n">
        <v>46174.75444444444</v>
      </c>
      <c r="C12" t="inlineStr">
        <is>
          <t>SHYAM NARAIN RAMESH KUMAR AND  SONS</t>
        </is>
      </c>
      <c r="D12" t="inlineStr">
        <is>
          <t>BHOJIPURA</t>
        </is>
      </c>
      <c r="E12" t="inlineStr">
        <is>
          <t>UP25CT2572</t>
        </is>
      </c>
      <c r="F12">
        <f>IF(E12="","",XLOOKUP(E12,'Master Data'!$E$5:$E$15,'Master Data'!$F$5:$F$15,""))</f>
        <v/>
      </c>
      <c r="G12" t="n">
        <v>15</v>
      </c>
      <c r="H12" s="9" t="n">
        <v>321</v>
      </c>
      <c r="I12" s="9">
        <f>IF(OR(G12="",H12=""),"",G12*H12)</f>
        <v/>
      </c>
      <c r="J12" s="9" t="n"/>
      <c r="K12" s="9" t="n"/>
      <c r="L12" s="9">
        <f>IF(I12="","",I12-IF(J12="",0,J12)-IF(K12="",0,K12))</f>
        <v/>
      </c>
      <c r="M12" s="9">
        <f>IF(E12="","",XLOOKUP(E12,'Master Data'!$E$5:$E$15,'Master Data'!$G$5:$G$15,0))</f>
        <v/>
      </c>
      <c r="N12" s="9">
        <f>IF(E12="","",XLOOKUP(E12,'Master Data'!$E$5:$E$15,'Master Data'!$H$5:$H$15,0))</f>
        <v/>
      </c>
      <c r="O12" s="9">
        <f>IF(L12="","",L12-M12-N12)</f>
        <v/>
      </c>
      <c r="Q12" t="inlineStr">
        <is>
          <t>6</t>
        </is>
      </c>
      <c r="S12" s="9" t="n"/>
    </row>
    <row r="13">
      <c r="A13" t="n">
        <v>10</v>
      </c>
      <c r="B13" s="8" t="n">
        <v>46174.79640046296</v>
      </c>
      <c r="C13" t="inlineStr">
        <is>
          <t>GAFFAR CEMENT STORE</t>
        </is>
      </c>
      <c r="D13" t="inlineStr">
        <is>
          <t>SHAHBAD (HARDOI)</t>
        </is>
      </c>
      <c r="E13" t="inlineStr">
        <is>
          <t>UP25CT7099</t>
        </is>
      </c>
      <c r="F13">
        <f>IF(E13="","",XLOOKUP(E13,'Master Data'!$E$5:$E$15,'Master Data'!$F$5:$F$15,""))</f>
        <v/>
      </c>
      <c r="G13" t="n">
        <v>30</v>
      </c>
      <c r="H13" s="9" t="n">
        <v>293</v>
      </c>
      <c r="I13" s="9">
        <f>IF(OR(G13="",H13=""),"",G13*H13)</f>
        <v/>
      </c>
      <c r="J13" s="9" t="n"/>
      <c r="K13" s="9" t="n"/>
      <c r="L13" s="9">
        <f>IF(I13="","",I13-IF(J13="",0,J13)-IF(K13="",0,K13))</f>
        <v/>
      </c>
      <c r="M13" s="9">
        <f>IF(E13="","",XLOOKUP(E13,'Master Data'!$E$5:$E$15,'Master Data'!$G$5:$G$15,0))</f>
        <v/>
      </c>
      <c r="N13" s="9">
        <f>IF(E13="","",XLOOKUP(E13,'Master Data'!$E$5:$E$15,'Master Data'!$H$5:$H$15,0))</f>
        <v/>
      </c>
      <c r="O13" s="9">
        <f>IF(L13="","",L13-M13-N13)</f>
        <v/>
      </c>
      <c r="P13" t="inlineStr">
        <is>
          <t>YES</t>
        </is>
      </c>
      <c r="Q13" t="inlineStr">
        <is>
          <t>1 EPOD</t>
        </is>
      </c>
      <c r="S13" s="9" t="n"/>
    </row>
    <row r="14">
      <c r="A14" t="n">
        <v>11</v>
      </c>
      <c r="B14" s="8" t="n">
        <v>46175.08797453704</v>
      </c>
      <c r="C14" t="inlineStr">
        <is>
          <t>MALBROS INTERNATIONAL PVT LTD</t>
        </is>
      </c>
      <c r="D14" t="inlineStr">
        <is>
          <t>KHUDAGANJ (NP)</t>
        </is>
      </c>
      <c r="E14" t="inlineStr">
        <is>
          <t>UP25DT1881</t>
        </is>
      </c>
      <c r="F14">
        <f>IF(E14="","",XLOOKUP(E14,'Master Data'!$E$5:$E$15,'Master Data'!$F$5:$F$15,""))</f>
        <v/>
      </c>
      <c r="G14" t="n">
        <v>35</v>
      </c>
      <c r="H14" s="9" t="n">
        <v>175</v>
      </c>
      <c r="I14" s="9">
        <f>IF(OR(G14="",H14=""),"",G14*H14)</f>
        <v/>
      </c>
      <c r="J14" s="9" t="n"/>
      <c r="K14" s="9" t="n"/>
      <c r="L14" s="9">
        <f>IF(I14="","",I14-IF(J14="",0,J14)-IF(K14="",0,K14))</f>
        <v/>
      </c>
      <c r="M14" s="9">
        <f>IF(E14="","",XLOOKUP(E14,'Master Data'!$E$5:$E$15,'Master Data'!$G$5:$G$15,0))</f>
        <v/>
      </c>
      <c r="N14" s="9">
        <f>IF(E14="","",XLOOKUP(E14,'Master Data'!$E$5:$E$15,'Master Data'!$H$5:$H$15,0))</f>
        <v/>
      </c>
      <c r="O14" s="9">
        <f>IF(L14="","",L14-M14-N14)</f>
        <v/>
      </c>
      <c r="Q14" t="inlineStr">
        <is>
          <t>3</t>
        </is>
      </c>
      <c r="S14" s="9" t="n"/>
    </row>
    <row r="15">
      <c r="A15" t="n">
        <v>15</v>
      </c>
      <c r="B15" s="8" t="n">
        <v>46175.04585648148</v>
      </c>
      <c r="C15" t="inlineStr">
        <is>
          <t>GAFFAR CEMENT STORE</t>
        </is>
      </c>
      <c r="D15" t="inlineStr">
        <is>
          <t>SHAHBAD (HARDOI)</t>
        </is>
      </c>
      <c r="E15" t="inlineStr">
        <is>
          <t>UP25JT8803</t>
        </is>
      </c>
      <c r="F15">
        <f>IF(E15="","",XLOOKUP(E15,'Master Data'!$E$5:$E$15,'Master Data'!$F$5:$F$15,""))</f>
        <v/>
      </c>
      <c r="G15" t="n">
        <v>13</v>
      </c>
      <c r="H15" s="9" t="n">
        <v>413</v>
      </c>
      <c r="I15" s="9">
        <f>IF(OR(G15="",H15=""),"",G15*H15)</f>
        <v/>
      </c>
      <c r="J15" s="9" t="n"/>
      <c r="K15" s="9" t="n"/>
      <c r="L15" s="9">
        <f>IF(I15="","",I15-IF(J15="",0,J15)-IF(K15="",0,K15))</f>
        <v/>
      </c>
      <c r="M15" s="9">
        <f>IF(E15="","",XLOOKUP(E15,'Master Data'!$E$5:$E$15,'Master Data'!$G$5:$G$15,0))</f>
        <v/>
      </c>
      <c r="N15" s="9">
        <f>IF(E15="","",XLOOKUP(E15,'Master Data'!$E$5:$E$15,'Master Data'!$H$5:$H$15,0))</f>
        <v/>
      </c>
      <c r="O15" s="9">
        <f>IF(L15="","",L15-M15-N15)</f>
        <v/>
      </c>
      <c r="P15" t="inlineStr">
        <is>
          <t>YES</t>
        </is>
      </c>
      <c r="Q15" t="inlineStr">
        <is>
          <t>1 EPOD</t>
        </is>
      </c>
      <c r="S15" s="9" t="n"/>
    </row>
    <row r="16">
      <c r="A16" t="n">
        <v>16</v>
      </c>
      <c r="B16" s="8" t="n">
        <v>46175.08793981482</v>
      </c>
      <c r="C16" t="inlineStr">
        <is>
          <t>GOEL DISTRIBUTORS</t>
        </is>
      </c>
      <c r="D16" t="inlineStr">
        <is>
          <t>BAREILLY</t>
        </is>
      </c>
      <c r="E16" t="inlineStr">
        <is>
          <t>UP25DT5668</t>
        </is>
      </c>
      <c r="F16">
        <f>IF(E16="","",XLOOKUP(E16,'Master Data'!$E$5:$E$15,'Master Data'!$F$5:$F$15,""))</f>
        <v/>
      </c>
      <c r="G16" t="n">
        <v>10</v>
      </c>
      <c r="H16" s="9" t="n">
        <v>368</v>
      </c>
      <c r="I16" s="9">
        <f>IF(OR(G16="",H16=""),"",G16*H16)</f>
        <v/>
      </c>
      <c r="J16" s="9" t="n"/>
      <c r="K16" s="9" t="n"/>
      <c r="L16" s="9">
        <f>IF(I16="","",I16-IF(J16="",0,J16)-IF(K16="",0,K16))</f>
        <v/>
      </c>
      <c r="M16" s="9">
        <f>IF(E16="","",XLOOKUP(E16,'Master Data'!$E$5:$E$15,'Master Data'!$G$5:$G$15,0))</f>
        <v/>
      </c>
      <c r="N16" s="9">
        <f>IF(E16="","",XLOOKUP(E16,'Master Data'!$E$5:$E$15,'Master Data'!$H$5:$H$15,0))</f>
        <v/>
      </c>
      <c r="O16" s="9">
        <f>IF(L16="","",L16-M16-N16)</f>
        <v/>
      </c>
      <c r="Q16" t="inlineStr">
        <is>
          <t>3</t>
        </is>
      </c>
      <c r="S16" s="9" t="n"/>
    </row>
    <row r="17">
      <c r="A17" t="n">
        <v>17</v>
      </c>
      <c r="B17" s="8" t="n">
        <v>46175.08782407407</v>
      </c>
      <c r="C17" t="inlineStr">
        <is>
          <t>GOEL DISTRIBUTORS</t>
        </is>
      </c>
      <c r="D17" t="inlineStr">
        <is>
          <t>BAREILLY</t>
        </is>
      </c>
      <c r="E17" t="inlineStr">
        <is>
          <t>UP25DT5668</t>
        </is>
      </c>
      <c r="F17">
        <f>IF(E17="","",XLOOKUP(E17,'Master Data'!$E$5:$E$15,'Master Data'!$F$5:$F$15,""))</f>
        <v/>
      </c>
      <c r="G17" t="n">
        <v>10</v>
      </c>
      <c r="H17" s="9" t="n">
        <v>368</v>
      </c>
      <c r="I17" s="9">
        <f>IF(OR(G17="",H17=""),"",G17*H17)</f>
        <v/>
      </c>
      <c r="J17" s="9" t="n"/>
      <c r="K17" s="9" t="n"/>
      <c r="L17" s="9">
        <f>IF(I17="","",I17-IF(J17="",0,J17)-IF(K17="",0,K17))</f>
        <v/>
      </c>
      <c r="M17" s="9">
        <f>IF(E17="","",XLOOKUP(E17,'Master Data'!$E$5:$E$15,'Master Data'!$G$5:$G$15,0))</f>
        <v/>
      </c>
      <c r="N17" s="9">
        <f>IF(E17="","",XLOOKUP(E17,'Master Data'!$E$5:$E$15,'Master Data'!$H$5:$H$15,0))</f>
        <v/>
      </c>
      <c r="O17" s="9">
        <f>IF(L17="","",L17-M17-N17)</f>
        <v/>
      </c>
      <c r="S17" s="9" t="n"/>
    </row>
    <row r="18">
      <c r="A18" t="n">
        <v>18</v>
      </c>
      <c r="B18" s="8" t="n">
        <v>46175.79646990741</v>
      </c>
      <c r="C18" t="inlineStr">
        <is>
          <t>TAMEER TRADERS</t>
        </is>
      </c>
      <c r="D18" t="inlineStr">
        <is>
          <t>KATRA</t>
        </is>
      </c>
      <c r="E18" t="inlineStr">
        <is>
          <t>UP25JT8802</t>
        </is>
      </c>
      <c r="F18">
        <f>IF(E18="","",XLOOKUP(E18,'Master Data'!$E$5:$E$15,'Master Data'!$F$5:$F$15,""))</f>
        <v/>
      </c>
      <c r="G18" t="n">
        <v>13</v>
      </c>
      <c r="H18" s="9" t="n">
        <v>225</v>
      </c>
      <c r="I18" s="9">
        <f>IF(OR(G18="",H18=""),"",G18*H18)</f>
        <v/>
      </c>
      <c r="J18" s="9" t="n"/>
      <c r="K18" s="9" t="n"/>
      <c r="L18" s="9">
        <f>IF(I18="","",I18-IF(J18="",0,J18)-IF(K18="",0,K18))</f>
        <v/>
      </c>
      <c r="M18" s="9">
        <f>IF(E18="","",XLOOKUP(E18,'Master Data'!$E$5:$E$15,'Master Data'!$G$5:$G$15,0))</f>
        <v/>
      </c>
      <c r="N18" s="9">
        <f>IF(E18="","",XLOOKUP(E18,'Master Data'!$E$5:$E$15,'Master Data'!$H$5:$H$15,0))</f>
        <v/>
      </c>
      <c r="O18" s="9">
        <f>IF(L18="","",L18-M18-N18)</f>
        <v/>
      </c>
      <c r="P18" t="inlineStr">
        <is>
          <t>YES</t>
        </is>
      </c>
      <c r="Q18" t="inlineStr">
        <is>
          <t>4 EPOD</t>
        </is>
      </c>
      <c r="S18" s="9" t="n"/>
    </row>
    <row r="19">
      <c r="A19" t="n">
        <v>19</v>
      </c>
      <c r="B19" s="8" t="n">
        <v>46175.79650462963</v>
      </c>
      <c r="C19" t="inlineStr">
        <is>
          <t>DUA AGENCIES</t>
        </is>
      </c>
      <c r="D19" t="inlineStr">
        <is>
          <t>NIGOHI</t>
        </is>
      </c>
      <c r="E19" t="inlineStr">
        <is>
          <t>UP25JT8804</t>
        </is>
      </c>
      <c r="F19">
        <f>IF(E19="","",XLOOKUP(E19,'Master Data'!$E$5:$E$15,'Master Data'!$F$5:$F$15,""))</f>
        <v/>
      </c>
      <c r="G19" t="n">
        <v>13</v>
      </c>
      <c r="H19" s="9" t="n">
        <v>325</v>
      </c>
      <c r="I19" s="9">
        <f>IF(OR(G19="",H19=""),"",G19*H19)</f>
        <v/>
      </c>
      <c r="J19" s="9" t="n"/>
      <c r="K19" s="9" t="n"/>
      <c r="L19" s="9">
        <f>IF(I19="","",I19-IF(J19="",0,J19)-IF(K19="",0,K19))</f>
        <v/>
      </c>
      <c r="M19" s="9">
        <f>IF(E19="","",XLOOKUP(E19,'Master Data'!$E$5:$E$15,'Master Data'!$G$5:$G$15,0))</f>
        <v/>
      </c>
      <c r="N19" s="9">
        <f>IF(E19="","",XLOOKUP(E19,'Master Data'!$E$5:$E$15,'Master Data'!$H$5:$H$15,0))</f>
        <v/>
      </c>
      <c r="O19" s="9">
        <f>IF(L19="","",L19-M19-N19)</f>
        <v/>
      </c>
      <c r="P19" t="inlineStr">
        <is>
          <t>YES</t>
        </is>
      </c>
      <c r="Q19" t="inlineStr">
        <is>
          <t>4 EPOD</t>
        </is>
      </c>
      <c r="S19" s="9" t="n"/>
    </row>
    <row r="20">
      <c r="A20" t="n">
        <v>20</v>
      </c>
      <c r="B20" s="8" t="n">
        <v>46175.87976851852</v>
      </c>
      <c r="C20" t="inlineStr">
        <is>
          <t>MITTAL FERTILIZERS</t>
        </is>
      </c>
      <c r="D20" t="inlineStr">
        <is>
          <t>FAREEDPUR</t>
        </is>
      </c>
      <c r="E20" t="inlineStr">
        <is>
          <t>UP25CT2572</t>
        </is>
      </c>
      <c r="F20">
        <f>IF(E20="","",XLOOKUP(E20,'Master Data'!$E$5:$E$15,'Master Data'!$F$5:$F$15,""))</f>
        <v/>
      </c>
      <c r="G20" t="n">
        <v>10</v>
      </c>
      <c r="H20" s="9" t="n">
        <v>226</v>
      </c>
      <c r="I20" s="9">
        <f>IF(OR(G20="",H20=""),"",G20*H20)</f>
        <v/>
      </c>
      <c r="J20" s="9" t="n"/>
      <c r="K20" s="9" t="n"/>
      <c r="L20" s="9">
        <f>IF(I20="","",I20-IF(J20="",0,J20)-IF(K20="",0,K20))</f>
        <v/>
      </c>
      <c r="M20" s="9">
        <f>IF(E20="","",XLOOKUP(E20,'Master Data'!$E$5:$E$15,'Master Data'!$G$5:$G$15,0))</f>
        <v/>
      </c>
      <c r="N20" s="9">
        <f>IF(E20="","",XLOOKUP(E20,'Master Data'!$E$5:$E$15,'Master Data'!$H$5:$H$15,0))</f>
        <v/>
      </c>
      <c r="O20" s="9">
        <f>IF(L20="","",L20-M20-N20)</f>
        <v/>
      </c>
      <c r="P20" t="inlineStr">
        <is>
          <t>YES</t>
        </is>
      </c>
      <c r="Q20" t="inlineStr">
        <is>
          <t>4 EPOD</t>
        </is>
      </c>
      <c r="S20" s="9" t="n"/>
    </row>
    <row r="21">
      <c r="A21" t="n">
        <v>21</v>
      </c>
      <c r="B21" s="8" t="n">
        <v>46175.92106481481</v>
      </c>
      <c r="C21" t="inlineStr">
        <is>
          <t>MITTAL FERTILIZERS</t>
        </is>
      </c>
      <c r="D21" t="inlineStr">
        <is>
          <t>RAJAU PARASPUR</t>
        </is>
      </c>
      <c r="E21" t="inlineStr">
        <is>
          <t>UP25CT2572</t>
        </is>
      </c>
      <c r="F21">
        <f>IF(E21="","",XLOOKUP(E21,'Master Data'!$E$5:$E$15,'Master Data'!$F$5:$F$15,""))</f>
        <v/>
      </c>
      <c r="G21" t="n">
        <v>6</v>
      </c>
      <c r="H21" s="9" t="n">
        <v>258</v>
      </c>
      <c r="I21" s="9">
        <f>IF(OR(G21="",H21=""),"",G21*H21)</f>
        <v/>
      </c>
      <c r="J21" s="9" t="n"/>
      <c r="K21" s="9" t="n"/>
      <c r="L21" s="9">
        <f>IF(I21="","",I21-IF(J21="",0,J21)-IF(K21="",0,K21))</f>
        <v/>
      </c>
      <c r="M21" s="9">
        <f>IF(E21="","",XLOOKUP(E21,'Master Data'!$E$5:$E$15,'Master Data'!$G$5:$G$15,0))</f>
        <v/>
      </c>
      <c r="N21" s="9">
        <f>IF(E21="","",XLOOKUP(E21,'Master Data'!$E$5:$E$15,'Master Data'!$H$5:$H$15,0))</f>
        <v/>
      </c>
      <c r="O21" s="9">
        <f>IF(L21="","",L21-M21-N21)</f>
        <v/>
      </c>
      <c r="Q21" t="inlineStr">
        <is>
          <t>7 EPOD</t>
        </is>
      </c>
      <c r="S21" s="9" t="n"/>
    </row>
    <row r="22">
      <c r="A22" t="n">
        <v>22</v>
      </c>
      <c r="B22" s="8" t="n">
        <v>46175.92142361111</v>
      </c>
      <c r="C22" t="inlineStr">
        <is>
          <t>MITTAL FERTILIZERS</t>
        </is>
      </c>
      <c r="D22" t="inlineStr">
        <is>
          <t>FAREEDPUR</t>
        </is>
      </c>
      <c r="E22" t="inlineStr">
        <is>
          <t>UP25CT2572</t>
        </is>
      </c>
      <c r="F22">
        <f>IF(E22="","",XLOOKUP(E22,'Master Data'!$E$5:$E$15,'Master Data'!$F$5:$F$15,""))</f>
        <v/>
      </c>
      <c r="G22" t="n">
        <v>9</v>
      </c>
      <c r="H22" s="9" t="n">
        <v>226</v>
      </c>
      <c r="I22" s="9">
        <f>IF(OR(G22="",H22=""),"",G22*H22)</f>
        <v/>
      </c>
      <c r="J22" s="9" t="n"/>
      <c r="K22" s="9" t="n"/>
      <c r="L22" s="9">
        <f>IF(I22="","",I22-IF(J22="",0,J22)-IF(K22="",0,K22))</f>
        <v/>
      </c>
      <c r="M22" s="9">
        <f>IF(E22="","",XLOOKUP(E22,'Master Data'!$E$5:$E$15,'Master Data'!$G$5:$G$15,0))</f>
        <v/>
      </c>
      <c r="N22" s="9">
        <f>IF(E22="","",XLOOKUP(E22,'Master Data'!$E$5:$E$15,'Master Data'!$H$5:$H$15,0))</f>
        <v/>
      </c>
      <c r="O22" s="9">
        <f>IF(L22="","",L22-M22-N22)</f>
        <v/>
      </c>
      <c r="P22" t="inlineStr">
        <is>
          <t>YES</t>
        </is>
      </c>
      <c r="Q22" t="inlineStr">
        <is>
          <t>4 EPOD</t>
        </is>
      </c>
      <c r="S22" s="9" t="n"/>
    </row>
    <row r="23">
      <c r="A23" t="n">
        <v>24</v>
      </c>
      <c r="B23" s="8" t="n">
        <v>46176.04627314815</v>
      </c>
      <c r="C23" t="inlineStr">
        <is>
          <t>TAMEER TRADERS</t>
        </is>
      </c>
      <c r="D23" t="inlineStr">
        <is>
          <t>SHAHJHANPUR</t>
        </is>
      </c>
      <c r="E23" t="inlineStr">
        <is>
          <t>UP25JT8803</t>
        </is>
      </c>
      <c r="F23">
        <f>IF(E23="","",XLOOKUP(E23,'Master Data'!$E$5:$E$15,'Master Data'!$F$5:$F$15,""))</f>
        <v/>
      </c>
      <c r="G23" t="n">
        <v>13</v>
      </c>
      <c r="H23" s="9" t="n">
        <v>423</v>
      </c>
      <c r="I23" s="9">
        <f>IF(OR(G23="",H23=""),"",G23*H23)</f>
        <v/>
      </c>
      <c r="J23" s="9" t="n"/>
      <c r="K23" s="9" t="n"/>
      <c r="L23" s="9">
        <f>IF(I23="","",I23-IF(J23="",0,J23)-IF(K23="",0,K23))</f>
        <v/>
      </c>
      <c r="M23" s="9">
        <f>IF(E23="","",XLOOKUP(E23,'Master Data'!$E$5:$E$15,'Master Data'!$G$5:$G$15,0))</f>
        <v/>
      </c>
      <c r="N23" s="9">
        <f>IF(E23="","",XLOOKUP(E23,'Master Data'!$E$5:$E$15,'Master Data'!$H$5:$H$15,0))</f>
        <v/>
      </c>
      <c r="O23" s="9">
        <f>IF(L23="","",L23-M23-N23)</f>
        <v/>
      </c>
      <c r="P23" t="inlineStr">
        <is>
          <t>YES</t>
        </is>
      </c>
      <c r="Q23" t="inlineStr">
        <is>
          <t>1 EPOD</t>
        </is>
      </c>
      <c r="S23" s="9" t="n"/>
    </row>
    <row r="24">
      <c r="A24" t="n">
        <v>23</v>
      </c>
      <c r="B24" s="8" t="n">
        <v>46176.12940972222</v>
      </c>
      <c r="C24" t="inlineStr">
        <is>
          <t>SHREE VASUNDHARA INFRAPROMOTERS</t>
        </is>
      </c>
      <c r="D24" t="inlineStr">
        <is>
          <t>RUDRAPUR</t>
        </is>
      </c>
      <c r="E24" t="inlineStr">
        <is>
          <t>UP25DT1881</t>
        </is>
      </c>
      <c r="F24">
        <f>IF(E24="","",XLOOKUP(E24,'Master Data'!$E$5:$E$15,'Master Data'!$F$5:$F$15,""))</f>
        <v/>
      </c>
      <c r="G24" t="n">
        <v>35</v>
      </c>
      <c r="H24" s="9" t="n">
        <v>434</v>
      </c>
      <c r="I24" s="9">
        <f>IF(OR(G24="",H24=""),"",G24*H24)</f>
        <v/>
      </c>
      <c r="J24" s="9" t="n"/>
      <c r="K24" s="9" t="n"/>
      <c r="L24" s="9">
        <f>IF(I24="","",I24-IF(J24="",0,J24)-IF(K24="",0,K24))</f>
        <v/>
      </c>
      <c r="M24" s="9">
        <f>IF(E24="","",XLOOKUP(E24,'Master Data'!$E$5:$E$15,'Master Data'!$G$5:$G$15,0))</f>
        <v/>
      </c>
      <c r="N24" s="9">
        <f>IF(E24="","",XLOOKUP(E24,'Master Data'!$E$5:$E$15,'Master Data'!$H$5:$H$15,0))</f>
        <v/>
      </c>
      <c r="O24" s="9">
        <f>IF(L24="","",L24-M24-N24)</f>
        <v/>
      </c>
      <c r="Q24" t="inlineStr">
        <is>
          <t>3</t>
        </is>
      </c>
      <c r="S24" s="9" t="n"/>
    </row>
    <row r="25">
      <c r="A25" t="n">
        <v>26</v>
      </c>
      <c r="B25" s="8" t="n">
        <v>46176.54594907408</v>
      </c>
      <c r="C25" t="inlineStr">
        <is>
          <t>BHARAT FERTILIZERS (SIS)</t>
        </is>
      </c>
      <c r="D25" t="inlineStr">
        <is>
          <t>DADIYA</t>
        </is>
      </c>
      <c r="E25" t="inlineStr">
        <is>
          <t>UP25JT8804</t>
        </is>
      </c>
      <c r="F25">
        <f>IF(E25="","",XLOOKUP(E25,'Master Data'!$E$5:$E$15,'Master Data'!$F$5:$F$15,""))</f>
        <v/>
      </c>
      <c r="G25" t="n">
        <v>13</v>
      </c>
      <c r="H25" s="9" t="n">
        <v>320</v>
      </c>
      <c r="I25" s="9">
        <f>IF(OR(G25="",H25=""),"",G25*H25)</f>
        <v/>
      </c>
      <c r="J25" s="9" t="n"/>
      <c r="K25" s="9" t="n"/>
      <c r="L25" s="9">
        <f>IF(I25="","",I25-IF(J25="",0,J25)-IF(K25="",0,K25))</f>
        <v/>
      </c>
      <c r="M25" s="9">
        <f>IF(E25="","",XLOOKUP(E25,'Master Data'!$E$5:$E$15,'Master Data'!$G$5:$G$15,0))</f>
        <v/>
      </c>
      <c r="N25" s="9">
        <f>IF(E25="","",XLOOKUP(E25,'Master Data'!$E$5:$E$15,'Master Data'!$H$5:$H$15,0))</f>
        <v/>
      </c>
      <c r="O25" s="9">
        <f>IF(L25="","",L25-M25-N25)</f>
        <v/>
      </c>
      <c r="P25" t="inlineStr">
        <is>
          <t>YES</t>
        </is>
      </c>
      <c r="Q25" t="inlineStr">
        <is>
          <t>4 EPOD</t>
        </is>
      </c>
      <c r="S25" s="9" t="n"/>
    </row>
    <row r="26">
      <c r="A26" t="n">
        <v>25</v>
      </c>
      <c r="B26" s="8" t="n">
        <v>46176.54637731481</v>
      </c>
      <c r="C26" t="inlineStr">
        <is>
          <t>JAI BHARAT ENTERPRISES (SIS)</t>
        </is>
      </c>
      <c r="D26" t="inlineStr">
        <is>
          <t>MOHAMMADI</t>
        </is>
      </c>
      <c r="E26" t="inlineStr">
        <is>
          <t>UP25JT8802</t>
        </is>
      </c>
      <c r="F26">
        <f>IF(E26="","",XLOOKUP(E26,'Master Data'!$E$5:$E$15,'Master Data'!$F$5:$F$15,""))</f>
        <v/>
      </c>
      <c r="G26" t="n">
        <v>13</v>
      </c>
      <c r="H26" s="9" t="n">
        <v>510</v>
      </c>
      <c r="I26" s="9">
        <f>IF(OR(G26="",H26=""),"",G26*H26)</f>
        <v/>
      </c>
      <c r="J26" s="9" t="n"/>
      <c r="K26" s="9" t="n"/>
      <c r="L26" s="9">
        <f>IF(I26="","",I26-IF(J26="",0,J26)-IF(K26="",0,K26))</f>
        <v/>
      </c>
      <c r="M26" s="9">
        <f>IF(E26="","",XLOOKUP(E26,'Master Data'!$E$5:$E$15,'Master Data'!$G$5:$G$15,0))</f>
        <v/>
      </c>
      <c r="N26" s="9">
        <f>IF(E26="","",XLOOKUP(E26,'Master Data'!$E$5:$E$15,'Master Data'!$H$5:$H$15,0))</f>
        <v/>
      </c>
      <c r="O26" s="9">
        <f>IF(L26="","",L26-M26-N26)</f>
        <v/>
      </c>
      <c r="P26" t="inlineStr">
        <is>
          <t>YES</t>
        </is>
      </c>
      <c r="Q26" t="inlineStr">
        <is>
          <t>4 EPOD</t>
        </is>
      </c>
      <c r="S26" s="9" t="n"/>
    </row>
    <row r="27">
      <c r="A27" t="n">
        <v>27</v>
      </c>
      <c r="B27" s="8" t="n">
        <v>46176.71304398148</v>
      </c>
      <c r="C27" t="inlineStr">
        <is>
          <t>KANAN TRADERS</t>
        </is>
      </c>
      <c r="D27" t="inlineStr">
        <is>
          <t>KATHGODAM</t>
        </is>
      </c>
      <c r="E27" t="inlineStr">
        <is>
          <t>UP25CT7099</t>
        </is>
      </c>
      <c r="F27">
        <f>IF(E27="","",XLOOKUP(E27,'Master Data'!$E$5:$E$15,'Master Data'!$F$5:$F$15,""))</f>
        <v/>
      </c>
      <c r="G27" t="n">
        <v>30</v>
      </c>
      <c r="H27" s="9" t="n">
        <v>586</v>
      </c>
      <c r="I27" s="9">
        <f>IF(OR(G27="",H27=""),"",G27*H27)</f>
        <v/>
      </c>
      <c r="J27" s="9" t="n"/>
      <c r="K27" s="9" t="n"/>
      <c r="L27" s="9">
        <f>IF(I27="","",I27-IF(J27="",0,J27)-IF(K27="",0,K27))</f>
        <v/>
      </c>
      <c r="M27" s="9">
        <f>IF(E27="","",XLOOKUP(E27,'Master Data'!$E$5:$E$15,'Master Data'!$G$5:$G$15,0))</f>
        <v/>
      </c>
      <c r="N27" s="9">
        <f>IF(E27="","",XLOOKUP(E27,'Master Data'!$E$5:$E$15,'Master Data'!$H$5:$H$15,0))</f>
        <v/>
      </c>
      <c r="O27" s="9">
        <f>IF(L27="","",L27-M27-N27)</f>
        <v/>
      </c>
      <c r="Q27" t="inlineStr">
        <is>
          <t>3</t>
        </is>
      </c>
      <c r="S27" s="9" t="n"/>
    </row>
    <row r="28">
      <c r="A28" t="n">
        <v>28</v>
      </c>
      <c r="B28" s="8" t="n">
        <v>46176.83810185185</v>
      </c>
      <c r="C28" t="inlineStr">
        <is>
          <t>SINGH TRADERS</t>
        </is>
      </c>
      <c r="D28" t="inlineStr">
        <is>
          <t>LAKHIMPUR</t>
        </is>
      </c>
      <c r="E28" t="inlineStr">
        <is>
          <t>UP25BT7464</t>
        </is>
      </c>
      <c r="F28">
        <f>IF(E28="","",XLOOKUP(E28,'Master Data'!$E$5:$E$15,'Master Data'!$F$5:$F$15,""))</f>
        <v/>
      </c>
      <c r="G28" t="n">
        <v>30</v>
      </c>
      <c r="H28" s="9" t="n">
        <v>489</v>
      </c>
      <c r="I28" s="9">
        <f>IF(OR(G28="",H28=""),"",G28*H28)</f>
        <v/>
      </c>
      <c r="J28" s="9" t="n"/>
      <c r="K28" s="9" t="n"/>
      <c r="L28" s="9">
        <f>IF(I28="","",I28-IF(J28="",0,J28)-IF(K28="",0,K28))</f>
        <v/>
      </c>
      <c r="M28" s="9">
        <f>IF(E28="","",XLOOKUP(E28,'Master Data'!$E$5:$E$15,'Master Data'!$G$5:$G$15,0))</f>
        <v/>
      </c>
      <c r="N28" s="9">
        <f>IF(E28="","",XLOOKUP(E28,'Master Data'!$E$5:$E$15,'Master Data'!$H$5:$H$15,0))</f>
        <v/>
      </c>
      <c r="O28" s="9">
        <f>IF(L28="","",L28-M28-N28)</f>
        <v/>
      </c>
      <c r="P28" t="inlineStr">
        <is>
          <t>YES</t>
        </is>
      </c>
      <c r="Q28" t="inlineStr">
        <is>
          <t>4 EPOD</t>
        </is>
      </c>
      <c r="S28" s="9" t="n"/>
    </row>
    <row r="29">
      <c r="A29" t="n">
        <v>29</v>
      </c>
      <c r="B29" s="8" t="n">
        <v>46177.6293287037</v>
      </c>
      <c r="C29" t="inlineStr">
        <is>
          <t>BHARAT FERTILIZERS (SIS)</t>
        </is>
      </c>
      <c r="D29" t="inlineStr">
        <is>
          <t>BARKHERA JAIPAL</t>
        </is>
      </c>
      <c r="E29" t="inlineStr">
        <is>
          <t>UP25JT8802</t>
        </is>
      </c>
      <c r="F29">
        <f>IF(E29="","",XLOOKUP(E29,'Master Data'!$E$5:$E$15,'Master Data'!$F$5:$F$15,""))</f>
        <v/>
      </c>
      <c r="G29" t="n">
        <v>13</v>
      </c>
      <c r="H29" s="9" t="n">
        <v>264</v>
      </c>
      <c r="I29" s="9">
        <f>IF(OR(G29="",H29=""),"",G29*H29)</f>
        <v/>
      </c>
      <c r="J29" s="9" t="n"/>
      <c r="K29" s="9" t="n"/>
      <c r="L29" s="9">
        <f>IF(I29="","",I29-IF(J29="",0,J29)-IF(K29="",0,K29))</f>
        <v/>
      </c>
      <c r="M29" s="9">
        <f>IF(E29="","",XLOOKUP(E29,'Master Data'!$E$5:$E$15,'Master Data'!$G$5:$G$15,0))</f>
        <v/>
      </c>
      <c r="N29" s="9">
        <f>IF(E29="","",XLOOKUP(E29,'Master Data'!$E$5:$E$15,'Master Data'!$H$5:$H$15,0))</f>
        <v/>
      </c>
      <c r="O29" s="9">
        <f>IF(L29="","",L29-M29-N29)</f>
        <v/>
      </c>
      <c r="P29" t="inlineStr">
        <is>
          <t>YES</t>
        </is>
      </c>
      <c r="Q29" t="inlineStr">
        <is>
          <t>4 EPOD</t>
        </is>
      </c>
      <c r="S29" s="9" t="n"/>
    </row>
    <row r="30">
      <c r="A30" t="n">
        <v>30</v>
      </c>
      <c r="B30" s="8" t="n">
        <v>46177.67103009259</v>
      </c>
      <c r="C30" t="inlineStr">
        <is>
          <t>BHARAT FERTILIZERS (SIS)</t>
        </is>
      </c>
      <c r="D30" t="inlineStr">
        <is>
          <t>TILHAR</t>
        </is>
      </c>
      <c r="E30" t="inlineStr">
        <is>
          <t>UP25JT8804</t>
        </is>
      </c>
      <c r="F30">
        <f>IF(E30="","",XLOOKUP(E30,'Master Data'!$E$5:$E$15,'Master Data'!$F$5:$F$15,""))</f>
        <v/>
      </c>
      <c r="G30" t="n">
        <v>13</v>
      </c>
      <c r="H30" s="9" t="n">
        <v>264</v>
      </c>
      <c r="I30" s="9">
        <f>IF(OR(G30="",H30=""),"",G30*H30)</f>
        <v/>
      </c>
      <c r="J30" s="9" t="n"/>
      <c r="K30" s="9" t="n"/>
      <c r="L30" s="9">
        <f>IF(I30="","",I30-IF(J30="",0,J30)-IF(K30="",0,K30))</f>
        <v/>
      </c>
      <c r="M30" s="9">
        <f>IF(E30="","",XLOOKUP(E30,'Master Data'!$E$5:$E$15,'Master Data'!$G$5:$G$15,0))</f>
        <v/>
      </c>
      <c r="N30" s="9">
        <f>IF(E30="","",XLOOKUP(E30,'Master Data'!$E$5:$E$15,'Master Data'!$H$5:$H$15,0))</f>
        <v/>
      </c>
      <c r="O30" s="9">
        <f>IF(L30="","",L30-M30-N30)</f>
        <v/>
      </c>
      <c r="P30" t="inlineStr">
        <is>
          <t>YES</t>
        </is>
      </c>
      <c r="Q30" t="inlineStr">
        <is>
          <t>4 EPOD</t>
        </is>
      </c>
      <c r="S30" s="9" t="n"/>
    </row>
    <row r="31">
      <c r="A31" t="n">
        <v>31</v>
      </c>
      <c r="B31" s="8" t="n">
        <v>46177.58814814815</v>
      </c>
      <c r="C31" t="inlineStr">
        <is>
          <t>JAI BHARAT ENTERPRISES (SIS)</t>
        </is>
      </c>
      <c r="D31" t="inlineStr">
        <is>
          <t>KATRA</t>
        </is>
      </c>
      <c r="E31" t="inlineStr">
        <is>
          <t>UP25JT8803</t>
        </is>
      </c>
      <c r="F31">
        <f>IF(E31="","",XLOOKUP(E31,'Master Data'!$E$5:$E$15,'Master Data'!$F$5:$F$15,""))</f>
        <v/>
      </c>
      <c r="G31" t="n">
        <v>13</v>
      </c>
      <c r="H31" s="9" t="n">
        <v>225</v>
      </c>
      <c r="I31" s="9">
        <f>IF(OR(G31="",H31=""),"",G31*H31)</f>
        <v/>
      </c>
      <c r="J31" s="9" t="n"/>
      <c r="K31" s="9" t="n"/>
      <c r="L31" s="9">
        <f>IF(I31="","",I31-IF(J31="",0,J31)-IF(K31="",0,K31))</f>
        <v/>
      </c>
      <c r="M31" s="9">
        <f>IF(E31="","",XLOOKUP(E31,'Master Data'!$E$5:$E$15,'Master Data'!$G$5:$G$15,0))</f>
        <v/>
      </c>
      <c r="N31" s="9">
        <f>IF(E31="","",XLOOKUP(E31,'Master Data'!$E$5:$E$15,'Master Data'!$H$5:$H$15,0))</f>
        <v/>
      </c>
      <c r="O31" s="9">
        <f>IF(L31="","",L31-M31-N31)</f>
        <v/>
      </c>
      <c r="P31" t="inlineStr">
        <is>
          <t>YES</t>
        </is>
      </c>
      <c r="Q31" t="inlineStr">
        <is>
          <t>1 EPOD</t>
        </is>
      </c>
      <c r="S31" s="9" t="n"/>
    </row>
    <row r="32">
      <c r="A32" t="n">
        <v>32</v>
      </c>
      <c r="B32" s="8" t="n">
        <v>46177.79585648148</v>
      </c>
      <c r="C32" t="inlineStr">
        <is>
          <t>S.P TRADERS</t>
        </is>
      </c>
      <c r="D32" t="inlineStr">
        <is>
          <t>PILIBHIT</t>
        </is>
      </c>
      <c r="E32" t="inlineStr">
        <is>
          <t>UP25CT2572</t>
        </is>
      </c>
      <c r="F32">
        <f>IF(E32="","",XLOOKUP(E32,'Master Data'!$E$5:$E$15,'Master Data'!$F$5:$F$15,""))</f>
        <v/>
      </c>
      <c r="G32" t="n">
        <v>12</v>
      </c>
      <c r="H32" s="9" t="n">
        <v>429</v>
      </c>
      <c r="I32" s="9">
        <f>IF(OR(G32="",H32=""),"",G32*H32)</f>
        <v/>
      </c>
      <c r="J32" s="9" t="n"/>
      <c r="K32" s="9" t="n"/>
      <c r="L32" s="9">
        <f>IF(I32="","",I32-IF(J32="",0,J32)-IF(K32="",0,K32))</f>
        <v/>
      </c>
      <c r="M32" s="9">
        <f>IF(E32="","",XLOOKUP(E32,'Master Data'!$E$5:$E$15,'Master Data'!$G$5:$G$15,0))</f>
        <v/>
      </c>
      <c r="N32" s="9">
        <f>IF(E32="","",XLOOKUP(E32,'Master Data'!$E$5:$E$15,'Master Data'!$H$5:$H$15,0))</f>
        <v/>
      </c>
      <c r="O32" s="9">
        <f>IF(L32="","",L32-M32-N32)</f>
        <v/>
      </c>
      <c r="Q32" t="inlineStr">
        <is>
          <t>5</t>
        </is>
      </c>
      <c r="S32" s="9" t="n"/>
    </row>
    <row r="33">
      <c r="A33" t="n">
        <v>33</v>
      </c>
      <c r="B33" s="8" t="n">
        <v>46177.79621527778</v>
      </c>
      <c r="C33" t="inlineStr">
        <is>
          <t>S.P TRADERS</t>
        </is>
      </c>
      <c r="D33" t="inlineStr">
        <is>
          <t>PILIBHIT</t>
        </is>
      </c>
      <c r="E33" t="inlineStr">
        <is>
          <t>UP25CT2572</t>
        </is>
      </c>
      <c r="F33">
        <f>IF(E33="","",XLOOKUP(E33,'Master Data'!$E$5:$E$15,'Master Data'!$F$5:$F$15,""))</f>
        <v/>
      </c>
      <c r="G33" t="n">
        <v>13</v>
      </c>
      <c r="H33" s="9" t="n">
        <v>429</v>
      </c>
      <c r="I33" s="9">
        <f>IF(OR(G33="",H33=""),"",G33*H33)</f>
        <v/>
      </c>
      <c r="J33" s="9" t="n"/>
      <c r="K33" s="9" t="n"/>
      <c r="L33" s="9">
        <f>IF(I33="","",I33-IF(J33="",0,J33)-IF(K33="",0,K33))</f>
        <v/>
      </c>
      <c r="M33" s="9">
        <f>IF(E33="","",XLOOKUP(E33,'Master Data'!$E$5:$E$15,'Master Data'!$G$5:$G$15,0))</f>
        <v/>
      </c>
      <c r="N33" s="9">
        <f>IF(E33="","",XLOOKUP(E33,'Master Data'!$E$5:$E$15,'Master Data'!$H$5:$H$15,0))</f>
        <v/>
      </c>
      <c r="O33" s="9">
        <f>IF(L33="","",L33-M33-N33)</f>
        <v/>
      </c>
      <c r="Q33" t="inlineStr">
        <is>
          <t>5</t>
        </is>
      </c>
      <c r="S33" s="9" t="n"/>
    </row>
    <row r="34">
      <c r="A34" t="n">
        <v>37</v>
      </c>
      <c r="B34" s="8" t="n">
        <v>46178.62954861111</v>
      </c>
      <c r="C34" t="inlineStr">
        <is>
          <t>GAFFAR CEMENT STORE</t>
        </is>
      </c>
      <c r="D34" t="inlineStr">
        <is>
          <t>TANDIYAWAN</t>
        </is>
      </c>
      <c r="E34" t="inlineStr">
        <is>
          <t>UP25CT2572</t>
        </is>
      </c>
      <c r="F34">
        <f>IF(E34="","",XLOOKUP(E34,'Master Data'!$E$5:$E$15,'Master Data'!$F$5:$F$15,""))</f>
        <v/>
      </c>
      <c r="G34" t="n">
        <v>12.5</v>
      </c>
      <c r="H34" s="9" t="n">
        <v>490</v>
      </c>
      <c r="I34" s="9">
        <f>IF(OR(G34="",H34=""),"",G34*H34)</f>
        <v/>
      </c>
      <c r="J34" s="9" t="n"/>
      <c r="K34" s="9" t="n"/>
      <c r="L34" s="9">
        <f>IF(I34="","",I34-IF(J34="",0,J34)-IF(K34="",0,K34))</f>
        <v/>
      </c>
      <c r="M34" s="9">
        <f>IF(E34="","",XLOOKUP(E34,'Master Data'!$E$5:$E$15,'Master Data'!$G$5:$G$15,0))</f>
        <v/>
      </c>
      <c r="N34" s="9">
        <f>IF(E34="","",XLOOKUP(E34,'Master Data'!$E$5:$E$15,'Master Data'!$H$5:$H$15,0))</f>
        <v/>
      </c>
      <c r="O34" s="9">
        <f>IF(L34="","",L34-M34-N34)</f>
        <v/>
      </c>
      <c r="P34" t="inlineStr">
        <is>
          <t>YES</t>
        </is>
      </c>
      <c r="Q34" t="inlineStr">
        <is>
          <t>4 EPOD</t>
        </is>
      </c>
      <c r="S34" s="9" t="n"/>
    </row>
    <row r="35">
      <c r="A35" t="n">
        <v>36</v>
      </c>
      <c r="B35" s="8" t="n">
        <v>46178.62980324074</v>
      </c>
      <c r="C35" t="inlineStr">
        <is>
          <t>GAFFAR CEMENT STORE</t>
        </is>
      </c>
      <c r="D35" t="inlineStr">
        <is>
          <t>TANDIYAWAN</t>
        </is>
      </c>
      <c r="E35" t="inlineStr">
        <is>
          <t>UP25CT2572</t>
        </is>
      </c>
      <c r="F35">
        <f>IF(E35="","",XLOOKUP(E35,'Master Data'!$E$5:$E$15,'Master Data'!$F$5:$F$15,""))</f>
        <v/>
      </c>
      <c r="G35" t="n">
        <v>12.5</v>
      </c>
      <c r="H35" s="9" t="n">
        <v>490</v>
      </c>
      <c r="I35" s="9">
        <f>IF(OR(G35="",H35=""),"",G35*H35)</f>
        <v/>
      </c>
      <c r="J35" s="9" t="n"/>
      <c r="K35" s="9" t="n"/>
      <c r="L35" s="9">
        <f>IF(I35="","",I35-IF(J35="",0,J35)-IF(K35="",0,K35))</f>
        <v/>
      </c>
      <c r="M35" s="9">
        <f>IF(E35="","",XLOOKUP(E35,'Master Data'!$E$5:$E$15,'Master Data'!$G$5:$G$15,0))</f>
        <v/>
      </c>
      <c r="N35" s="9">
        <f>IF(E35="","",XLOOKUP(E35,'Master Data'!$E$5:$E$15,'Master Data'!$H$5:$H$15,0))</f>
        <v/>
      </c>
      <c r="O35" s="9">
        <f>IF(L35="","",L35-M35-N35)</f>
        <v/>
      </c>
      <c r="P35" t="inlineStr">
        <is>
          <t>YES</t>
        </is>
      </c>
      <c r="Q35" t="inlineStr">
        <is>
          <t>4 EPOD</t>
        </is>
      </c>
      <c r="S35" s="9" t="n"/>
    </row>
    <row r="36">
      <c r="A36" t="n">
        <v>38</v>
      </c>
      <c r="B36" s="8" t="n">
        <v>46179.50440972222</v>
      </c>
      <c r="C36" t="inlineStr">
        <is>
          <t>SINGH TRADERS</t>
        </is>
      </c>
      <c r="D36" t="inlineStr">
        <is>
          <t>BAREILLY</t>
        </is>
      </c>
      <c r="E36" t="inlineStr">
        <is>
          <t>UP25DT1881</t>
        </is>
      </c>
      <c r="F36">
        <f>IF(E36="","",XLOOKUP(E36,'Master Data'!$E$5:$E$15,'Master Data'!$F$5:$F$15,""))</f>
        <v/>
      </c>
      <c r="G36" t="n">
        <v>35</v>
      </c>
      <c r="H36" s="9" t="n">
        <v>278</v>
      </c>
      <c r="I36" s="9">
        <f>IF(OR(G36="",H36=""),"",G36*H36)</f>
        <v/>
      </c>
      <c r="J36" s="9" t="n"/>
      <c r="K36" s="9" t="n"/>
      <c r="L36" s="9">
        <f>IF(I36="","",I36-IF(J36="",0,J36)-IF(K36="",0,K36))</f>
        <v/>
      </c>
      <c r="M36" s="9">
        <f>IF(E36="","",XLOOKUP(E36,'Master Data'!$E$5:$E$15,'Master Data'!$G$5:$G$15,0))</f>
        <v/>
      </c>
      <c r="N36" s="9">
        <f>IF(E36="","",XLOOKUP(E36,'Master Data'!$E$5:$E$15,'Master Data'!$H$5:$H$15,0))</f>
        <v/>
      </c>
      <c r="O36" s="9">
        <f>IF(L36="","",L36-M36-N36)</f>
        <v/>
      </c>
      <c r="Q36" t="inlineStr">
        <is>
          <t>3</t>
        </is>
      </c>
      <c r="S36" s="9" t="n"/>
    </row>
    <row r="37">
      <c r="A37" t="n">
        <v>39</v>
      </c>
      <c r="B37" s="8" t="n">
        <v>46179.83810185185</v>
      </c>
      <c r="C37" t="inlineStr">
        <is>
          <t>MAURIA BUILDING MATERIAL</t>
        </is>
      </c>
      <c r="D37" t="inlineStr">
        <is>
          <t>SHERGARH (BLY)</t>
        </is>
      </c>
      <c r="E37" t="inlineStr">
        <is>
          <t>UP25BT7464</t>
        </is>
      </c>
      <c r="F37">
        <f>IF(E37="","",XLOOKUP(E37,'Master Data'!$E$5:$E$15,'Master Data'!$F$5:$F$15,""))</f>
        <v/>
      </c>
      <c r="G37" t="n">
        <v>10</v>
      </c>
      <c r="H37" s="9" t="n">
        <v>383</v>
      </c>
      <c r="I37" s="9">
        <f>IF(OR(G37="",H37=""),"",G37*H37)</f>
        <v/>
      </c>
      <c r="J37" s="9" t="n"/>
      <c r="K37" s="9" t="n"/>
      <c r="L37" s="9">
        <f>IF(I37="","",I37-IF(J37="",0,J37)-IF(K37="",0,K37))</f>
        <v/>
      </c>
      <c r="M37" s="9">
        <f>IF(E37="","",XLOOKUP(E37,'Master Data'!$E$5:$E$15,'Master Data'!$G$5:$G$15,0))</f>
        <v/>
      </c>
      <c r="N37" s="9">
        <f>IF(E37="","",XLOOKUP(E37,'Master Data'!$E$5:$E$15,'Master Data'!$H$5:$H$15,0))</f>
        <v/>
      </c>
      <c r="O37" s="9">
        <f>IF(L37="","",L37-M37-N37)</f>
        <v/>
      </c>
      <c r="Q37" t="inlineStr">
        <is>
          <t>5</t>
        </is>
      </c>
      <c r="S37" s="9" t="n"/>
    </row>
    <row r="38">
      <c r="A38" t="n">
        <v>40</v>
      </c>
      <c r="B38" s="8" t="n">
        <v>46179.83798611111</v>
      </c>
      <c r="C38" t="inlineStr">
        <is>
          <t>MAURIA BUILDING MATERIAL</t>
        </is>
      </c>
      <c r="D38" t="inlineStr">
        <is>
          <t>SHERGARH (BLY)</t>
        </is>
      </c>
      <c r="E38" t="inlineStr">
        <is>
          <t>UP25BT7464</t>
        </is>
      </c>
      <c r="F38">
        <f>IF(E38="","",XLOOKUP(E38,'Master Data'!$E$5:$E$15,'Master Data'!$F$5:$F$15,""))</f>
        <v/>
      </c>
      <c r="G38" t="n">
        <v>10</v>
      </c>
      <c r="H38" s="9" t="n">
        <v>383</v>
      </c>
      <c r="I38" s="9">
        <f>IF(OR(G38="",H38=""),"",G38*H38)</f>
        <v/>
      </c>
      <c r="J38" s="9" t="n"/>
      <c r="K38" s="9" t="n"/>
      <c r="L38" s="9">
        <f>IF(I38="","",I38-IF(J38="",0,J38)-IF(K38="",0,K38))</f>
        <v/>
      </c>
      <c r="M38" s="9">
        <f>IF(E38="","",XLOOKUP(E38,'Master Data'!$E$5:$E$15,'Master Data'!$G$5:$G$15,0))</f>
        <v/>
      </c>
      <c r="N38" s="9">
        <f>IF(E38="","",XLOOKUP(E38,'Master Data'!$E$5:$E$15,'Master Data'!$H$5:$H$15,0))</f>
        <v/>
      </c>
      <c r="O38" s="9">
        <f>IF(L38="","",L38-M38-N38)</f>
        <v/>
      </c>
      <c r="Q38" t="inlineStr">
        <is>
          <t>5</t>
        </is>
      </c>
      <c r="S38" s="9" t="n"/>
    </row>
    <row r="39">
      <c r="A39" t="n">
        <v>41</v>
      </c>
      <c r="B39" s="8" t="n">
        <v>46179.83789351852</v>
      </c>
      <c r="C39" t="inlineStr">
        <is>
          <t>MOHD. AYUB TRADERS</t>
        </is>
      </c>
      <c r="D39" t="inlineStr">
        <is>
          <t>MAVAI KAZIYAN</t>
        </is>
      </c>
      <c r="E39" t="inlineStr">
        <is>
          <t>UP25BT7464</t>
        </is>
      </c>
      <c r="F39">
        <f>IF(E39="","",XLOOKUP(E39,'Master Data'!$E$5:$E$15,'Master Data'!$F$5:$F$15,""))</f>
        <v/>
      </c>
      <c r="G39" t="n">
        <v>10</v>
      </c>
      <c r="H39" s="9" t="n">
        <v>403</v>
      </c>
      <c r="I39" s="9">
        <f>IF(OR(G39="",H39=""),"",G39*H39)</f>
        <v/>
      </c>
      <c r="J39" s="9" t="n"/>
      <c r="K39" s="9" t="n"/>
      <c r="L39" s="9">
        <f>IF(I39="","",I39-IF(J39="",0,J39)-IF(K39="",0,K39))</f>
        <v/>
      </c>
      <c r="M39" s="9">
        <f>IF(E39="","",XLOOKUP(E39,'Master Data'!$E$5:$E$15,'Master Data'!$G$5:$G$15,0))</f>
        <v/>
      </c>
      <c r="N39" s="9">
        <f>IF(E39="","",XLOOKUP(E39,'Master Data'!$E$5:$E$15,'Master Data'!$H$5:$H$15,0))</f>
        <v/>
      </c>
      <c r="O39" s="9">
        <f>IF(L39="","",L39-M39-N39)</f>
        <v/>
      </c>
      <c r="Q39" t="inlineStr">
        <is>
          <t>5</t>
        </is>
      </c>
      <c r="S39" s="9" t="n"/>
    </row>
    <row r="40">
      <c r="A40" t="n">
        <v>42</v>
      </c>
      <c r="B40" s="8" t="n">
        <v>46178.79601851852</v>
      </c>
      <c r="C40" t="inlineStr">
        <is>
          <t>JAI BHARAT ENTERPRISES (SIS)</t>
        </is>
      </c>
      <c r="D40" t="inlineStr">
        <is>
          <t>BANDA</t>
        </is>
      </c>
      <c r="E40" t="inlineStr">
        <is>
          <t>UP25JT8803</t>
        </is>
      </c>
      <c r="F40">
        <f>IF(E40="","",XLOOKUP(E40,'Master Data'!$E$5:$E$15,'Master Data'!$F$5:$F$15,""))</f>
        <v/>
      </c>
      <c r="G40" t="n">
        <v>13</v>
      </c>
      <c r="H40" s="9" t="n">
        <v>449</v>
      </c>
      <c r="I40" s="9">
        <f>IF(OR(G40="",H40=""),"",G40*H40)</f>
        <v/>
      </c>
      <c r="J40" s="9" t="n"/>
      <c r="K40" s="9" t="n"/>
      <c r="L40" s="9">
        <f>IF(I40="","",I40-IF(J40="",0,J40)-IF(K40="",0,K40))</f>
        <v/>
      </c>
      <c r="M40" s="9">
        <f>IF(E40="","",XLOOKUP(E40,'Master Data'!$E$5:$E$15,'Master Data'!$G$5:$G$15,0))</f>
        <v/>
      </c>
      <c r="N40" s="9">
        <f>IF(E40="","",XLOOKUP(E40,'Master Data'!$E$5:$E$15,'Master Data'!$H$5:$H$15,0))</f>
        <v/>
      </c>
      <c r="O40" s="9">
        <f>IF(L40="","",L40-M40-N40)</f>
        <v/>
      </c>
      <c r="Q40" t="inlineStr">
        <is>
          <t>5</t>
        </is>
      </c>
      <c r="S40" s="9" t="n"/>
    </row>
    <row r="41">
      <c r="A41" t="n">
        <v>44</v>
      </c>
      <c r="B41" s="8" t="n">
        <v>46179.17140046296</v>
      </c>
      <c r="C41" t="inlineStr">
        <is>
          <t>JAI BHARAT ENTERPRISES (SIS)</t>
        </is>
      </c>
      <c r="D41" t="inlineStr">
        <is>
          <t>KATRA</t>
        </is>
      </c>
      <c r="E41" t="inlineStr">
        <is>
          <t>UP25JT8802</t>
        </is>
      </c>
      <c r="F41">
        <f>IF(E41="","",XLOOKUP(E41,'Master Data'!$E$5:$E$15,'Master Data'!$F$5:$F$15,""))</f>
        <v/>
      </c>
      <c r="G41" t="n">
        <v>13</v>
      </c>
      <c r="H41" s="9" t="n">
        <v>225</v>
      </c>
      <c r="I41" s="9">
        <f>IF(OR(G41="",H41=""),"",G41*H41)</f>
        <v/>
      </c>
      <c r="J41" s="9" t="n"/>
      <c r="K41" s="9" t="n"/>
      <c r="L41" s="9">
        <f>IF(I41="","",I41-IF(J41="",0,J41)-IF(K41="",0,K41))</f>
        <v/>
      </c>
      <c r="M41" s="9">
        <f>IF(E41="","",XLOOKUP(E41,'Master Data'!$E$5:$E$15,'Master Data'!$G$5:$G$15,0))</f>
        <v/>
      </c>
      <c r="N41" s="9">
        <f>IF(E41="","",XLOOKUP(E41,'Master Data'!$E$5:$E$15,'Master Data'!$H$5:$H$15,0))</f>
        <v/>
      </c>
      <c r="O41" s="9">
        <f>IF(L41="","",L41-M41-N41)</f>
        <v/>
      </c>
      <c r="Q41" t="inlineStr">
        <is>
          <t>5</t>
        </is>
      </c>
      <c r="S41" s="9" t="n"/>
    </row>
    <row r="42">
      <c r="A42" t="n">
        <v>42</v>
      </c>
      <c r="B42" s="8" t="n">
        <v>46179.04628472222</v>
      </c>
      <c r="C42" t="inlineStr">
        <is>
          <t>JAI BHARAT ENTERPRISES (SIS)</t>
        </is>
      </c>
      <c r="D42" t="inlineStr">
        <is>
          <t>BANDA</t>
        </is>
      </c>
      <c r="E42" t="inlineStr">
        <is>
          <t>UP25JT8804</t>
        </is>
      </c>
      <c r="F42">
        <f>IF(E42="","",XLOOKUP(E42,'Master Data'!$E$5:$E$15,'Master Data'!$F$5:$F$15,""))</f>
        <v/>
      </c>
      <c r="G42" t="n">
        <v>13</v>
      </c>
      <c r="H42" s="9" t="n">
        <v>513</v>
      </c>
      <c r="I42" s="9">
        <f>IF(OR(G42="",H42=""),"",G42*H42)</f>
        <v/>
      </c>
      <c r="J42" s="9" t="n"/>
      <c r="K42" s="9" t="n"/>
      <c r="L42" s="9">
        <f>IF(I42="","",I42-IF(J42="",0,J42)-IF(K42="",0,K42))</f>
        <v/>
      </c>
      <c r="M42" s="9">
        <f>IF(E42="","",XLOOKUP(E42,'Master Data'!$E$5:$E$15,'Master Data'!$G$5:$G$15,0))</f>
        <v/>
      </c>
      <c r="N42" s="9">
        <f>IF(E42="","",XLOOKUP(E42,'Master Data'!$E$5:$E$15,'Master Data'!$H$5:$H$15,0))</f>
        <v/>
      </c>
      <c r="O42" s="9">
        <f>IF(L42="","",L42-M42-N42)</f>
        <v/>
      </c>
      <c r="S42" s="9" t="n"/>
    </row>
    <row r="43">
      <c r="A43" t="n">
        <v>43</v>
      </c>
      <c r="B43" s="8" t="n">
        <v>46179.04586805555</v>
      </c>
      <c r="C43" t="inlineStr">
        <is>
          <t>BHARAT FERTILIZERS (SIS)</t>
        </is>
      </c>
      <c r="D43" t="inlineStr">
        <is>
          <t>SHAHJHANPUR</t>
        </is>
      </c>
      <c r="E43" t="inlineStr">
        <is>
          <t>UP25JT8803</t>
        </is>
      </c>
      <c r="F43">
        <f>IF(E43="","",XLOOKUP(E43,'Master Data'!$E$5:$E$15,'Master Data'!$F$5:$F$15,""))</f>
        <v/>
      </c>
      <c r="G43" t="n">
        <v>13</v>
      </c>
      <c r="H43" s="9" t="n">
        <v>469</v>
      </c>
      <c r="I43" s="9">
        <f>IF(OR(G43="",H43=""),"",G43*H43)</f>
        <v/>
      </c>
      <c r="J43" s="9" t="n"/>
      <c r="K43" s="9" t="n"/>
      <c r="L43" s="9">
        <f>IF(I43="","",I43-IF(J43="",0,J43)-IF(K43="",0,K43))</f>
        <v/>
      </c>
      <c r="M43" s="9">
        <f>IF(E43="","",XLOOKUP(E43,'Master Data'!$E$5:$E$15,'Master Data'!$G$5:$G$15,0))</f>
        <v/>
      </c>
      <c r="N43" s="9">
        <f>IF(E43="","",XLOOKUP(E43,'Master Data'!$E$5:$E$15,'Master Data'!$H$5:$H$15,0))</f>
        <v/>
      </c>
      <c r="O43" s="9">
        <f>IF(L43="","",L43-M43-N43)</f>
        <v/>
      </c>
      <c r="P43" t="inlineStr">
        <is>
          <t>YES</t>
        </is>
      </c>
      <c r="Q43" t="inlineStr">
        <is>
          <t>2 EPOD</t>
        </is>
      </c>
      <c r="S43" s="9" t="n"/>
    </row>
    <row r="44">
      <c r="A44" t="n">
        <v>45</v>
      </c>
      <c r="B44" s="8" t="n">
        <v>46179.87976851852</v>
      </c>
      <c r="C44" t="inlineStr">
        <is>
          <t>OM PRAKASH KAMAL KUMAR</t>
        </is>
      </c>
      <c r="D44" t="inlineStr">
        <is>
          <t>KANNAUJ</t>
        </is>
      </c>
      <c r="E44" t="inlineStr">
        <is>
          <t>UP76K7791</t>
        </is>
      </c>
      <c r="F44">
        <f>IF(E44="","",XLOOKUP(E44,'Master Data'!$E$5:$E$15,'Master Data'!$F$5:$F$15,""))</f>
        <v/>
      </c>
      <c r="G44" t="n">
        <v>30</v>
      </c>
      <c r="H44" s="9" t="n">
        <v>501</v>
      </c>
      <c r="I44" s="9">
        <f>IF(OR(G44="",H44=""),"",G44*H44)</f>
        <v/>
      </c>
      <c r="J44" s="9" t="n"/>
      <c r="K44" s="9" t="n"/>
      <c r="L44" s="9">
        <f>IF(I44="","",I44-IF(J44="",0,J44)-IF(K44="",0,K44))</f>
        <v/>
      </c>
      <c r="M44" s="9">
        <f>IF(E44="","",XLOOKUP(E44,'Master Data'!$E$5:$E$15,'Master Data'!$G$5:$G$15,0))</f>
        <v/>
      </c>
      <c r="N44" s="9">
        <f>IF(E44="","",XLOOKUP(E44,'Master Data'!$E$5:$E$15,'Master Data'!$H$5:$H$15,0))</f>
        <v/>
      </c>
      <c r="O44" s="9">
        <f>IF(L44="","",L44-M44-N44)</f>
        <v/>
      </c>
      <c r="P44" t="inlineStr">
        <is>
          <t>YES</t>
        </is>
      </c>
      <c r="Q44" t="inlineStr">
        <is>
          <t>2 EPOD</t>
        </is>
      </c>
      <c r="S44" s="9" t="n"/>
    </row>
    <row r="45">
      <c r="A45" t="n">
        <v>47</v>
      </c>
      <c r="B45" s="8" t="n">
        <v>46179.96305555556</v>
      </c>
      <c r="C45" t="inlineStr">
        <is>
          <t>BHARAT FERTILIZERS (SIS)</t>
        </is>
      </c>
      <c r="D45" t="inlineStr">
        <is>
          <t>KHUDAGANJ (NP)</t>
        </is>
      </c>
      <c r="E45" t="inlineStr">
        <is>
          <t>UP25JT8804</t>
        </is>
      </c>
      <c r="F45">
        <f>IF(E45="","",XLOOKUP(E45,'Master Data'!$E$5:$E$15,'Master Data'!$F$5:$F$15,""))</f>
        <v/>
      </c>
      <c r="G45" t="n">
        <v>13</v>
      </c>
      <c r="H45" s="9" t="n">
        <v>297</v>
      </c>
      <c r="I45" s="9">
        <f>IF(OR(G45="",H45=""),"",G45*H45)</f>
        <v/>
      </c>
      <c r="J45" s="9" t="n"/>
      <c r="K45" s="9" t="n"/>
      <c r="L45" s="9">
        <f>IF(I45="","",I45-IF(J45="",0,J45)-IF(K45="",0,K45))</f>
        <v/>
      </c>
      <c r="M45" s="9">
        <f>IF(E45="","",XLOOKUP(E45,'Master Data'!$E$5:$E$15,'Master Data'!$G$5:$G$15,0))</f>
        <v/>
      </c>
      <c r="N45" s="9">
        <f>IF(E45="","",XLOOKUP(E45,'Master Data'!$E$5:$E$15,'Master Data'!$H$5:$H$15,0))</f>
        <v/>
      </c>
      <c r="O45" s="9">
        <f>IF(L45="","",L45-M45-N45)</f>
        <v/>
      </c>
      <c r="P45" t="inlineStr">
        <is>
          <t>YES</t>
        </is>
      </c>
      <c r="Q45" t="inlineStr">
        <is>
          <t>4 EPOD</t>
        </is>
      </c>
      <c r="S45" s="9" t="n"/>
    </row>
    <row r="46">
      <c r="A46" t="n">
        <v>46</v>
      </c>
      <c r="B46" s="8" t="n">
        <v>46179.87943287037</v>
      </c>
      <c r="C46" t="inlineStr">
        <is>
          <t>JAI BHARAT ENTERPRISES (SIS)</t>
        </is>
      </c>
      <c r="D46" t="inlineStr">
        <is>
          <t>SHAHBAZ NAGAR</t>
        </is>
      </c>
      <c r="E46" t="inlineStr">
        <is>
          <t>UP25JT8802</t>
        </is>
      </c>
      <c r="F46">
        <f>IF(E46="","",XLOOKUP(E46,'Master Data'!$E$5:$E$15,'Master Data'!$F$5:$F$15,""))</f>
        <v/>
      </c>
      <c r="G46" t="n">
        <v>13</v>
      </c>
      <c r="H46" s="9" t="n">
        <v>368</v>
      </c>
      <c r="I46" s="9">
        <f>IF(OR(G46="",H46=""),"",G46*H46)</f>
        <v/>
      </c>
      <c r="J46" s="9" t="n"/>
      <c r="K46" s="9" t="n"/>
      <c r="L46" s="9">
        <f>IF(I46="","",I46-IF(J46="",0,J46)-IF(K46="",0,K46))</f>
        <v/>
      </c>
      <c r="M46" s="9">
        <f>IF(E46="","",XLOOKUP(E46,'Master Data'!$E$5:$E$15,'Master Data'!$G$5:$G$15,0))</f>
        <v/>
      </c>
      <c r="N46" s="9">
        <f>IF(E46="","",XLOOKUP(E46,'Master Data'!$E$5:$E$15,'Master Data'!$H$5:$H$15,0))</f>
        <v/>
      </c>
      <c r="O46" s="9">
        <f>IF(L46="","",L46-M46-N46)</f>
        <v/>
      </c>
      <c r="Q46" t="inlineStr">
        <is>
          <t>5</t>
        </is>
      </c>
      <c r="S46" s="9" t="n"/>
    </row>
    <row r="47">
      <c r="A47" t="n">
        <v>50</v>
      </c>
      <c r="B47" s="8" t="n">
        <v>46180.00446759259</v>
      </c>
      <c r="C47" t="inlineStr">
        <is>
          <t>MISHRA IRON AND CEMENT STORE</t>
        </is>
      </c>
      <c r="D47" t="inlineStr">
        <is>
          <t>NIGOHI</t>
        </is>
      </c>
      <c r="E47" t="inlineStr">
        <is>
          <t>UP25JT8803</t>
        </is>
      </c>
      <c r="F47">
        <f>IF(E47="","",XLOOKUP(E47,'Master Data'!$E$5:$E$15,'Master Data'!$F$5:$F$15,""))</f>
        <v/>
      </c>
      <c r="G47" t="n">
        <v>13</v>
      </c>
      <c r="H47" s="9" t="n">
        <v>360</v>
      </c>
      <c r="I47" s="9">
        <f>IF(OR(G47="",H47=""),"",G47*H47)</f>
        <v/>
      </c>
      <c r="J47" s="9" t="n"/>
      <c r="K47" s="9" t="n"/>
      <c r="L47" s="9">
        <f>IF(I47="","",I47-IF(J47="",0,J47)-IF(K47="",0,K47))</f>
        <v/>
      </c>
      <c r="M47" s="9">
        <f>IF(E47="","",XLOOKUP(E47,'Master Data'!$E$5:$E$15,'Master Data'!$G$5:$G$15,0))</f>
        <v/>
      </c>
      <c r="N47" s="9">
        <f>IF(E47="","",XLOOKUP(E47,'Master Data'!$E$5:$E$15,'Master Data'!$H$5:$H$15,0))</f>
        <v/>
      </c>
      <c r="O47" s="9">
        <f>IF(L47="","",L47-M47-N47)</f>
        <v/>
      </c>
      <c r="Q47" t="inlineStr">
        <is>
          <t>3</t>
        </is>
      </c>
      <c r="S47" s="9" t="n"/>
    </row>
    <row r="48">
      <c r="A48" t="n">
        <v>49</v>
      </c>
      <c r="B48" s="8" t="n">
        <v>46180.0043287037</v>
      </c>
      <c r="C48" t="inlineStr">
        <is>
          <t>S S TRADERS AND SUPPLIERS</t>
        </is>
      </c>
      <c r="D48" t="inlineStr">
        <is>
          <t>SHAI</t>
        </is>
      </c>
      <c r="E48" t="inlineStr">
        <is>
          <t>UP25CT4514</t>
        </is>
      </c>
      <c r="F48">
        <f>IF(E48="","",XLOOKUP(E48,'Master Data'!$E$5:$E$15,'Master Data'!$F$5:$F$15,""))</f>
        <v/>
      </c>
      <c r="G48" t="n">
        <v>10</v>
      </c>
      <c r="H48" s="9" t="n">
        <v>421</v>
      </c>
      <c r="I48" s="9">
        <f>IF(OR(G48="",H48=""),"",G48*H48)</f>
        <v/>
      </c>
      <c r="J48" s="9" t="n"/>
      <c r="K48" s="9" t="n">
        <v>6000</v>
      </c>
      <c r="L48" s="9">
        <f>IF(I48="","",I48-IF(J48="",0,J48)-IF(K48="",0,K48))</f>
        <v/>
      </c>
      <c r="M48" s="9">
        <f>IF(E48="","",XLOOKUP(E48,'Master Data'!$E$5:$E$15,'Master Data'!$G$5:$G$15,0))</f>
        <v/>
      </c>
      <c r="N48" s="9">
        <f>IF(E48="","",XLOOKUP(E48,'Master Data'!$E$5:$E$15,'Master Data'!$H$5:$H$15,0))</f>
        <v/>
      </c>
      <c r="O48" s="9">
        <f>IF(L48="","",L48-M48-N48)</f>
        <v/>
      </c>
      <c r="P48" t="inlineStr">
        <is>
          <t>YES</t>
        </is>
      </c>
      <c r="Q48" t="inlineStr">
        <is>
          <t>2 EPOD</t>
        </is>
      </c>
      <c r="S48" s="9" t="n"/>
    </row>
    <row r="49">
      <c r="A49" t="n">
        <v>48</v>
      </c>
      <c r="B49" s="8" t="n">
        <v>46180.0046875</v>
      </c>
      <c r="C49" t="inlineStr">
        <is>
          <t>S S TRADERS AND SUPPLIERS</t>
        </is>
      </c>
      <c r="D49" t="inlineStr">
        <is>
          <t>FATEHGANJ WEST</t>
        </is>
      </c>
      <c r="E49" t="inlineStr">
        <is>
          <t>UP25CT4514</t>
        </is>
      </c>
      <c r="F49">
        <f>IF(E49="","",XLOOKUP(E49,'Master Data'!$E$5:$E$15,'Master Data'!$F$5:$F$15,""))</f>
        <v/>
      </c>
      <c r="G49" t="n">
        <v>15</v>
      </c>
      <c r="H49" s="9" t="n">
        <v>368</v>
      </c>
      <c r="I49" s="9">
        <f>IF(OR(G49="",H49=""),"",G49*H49)</f>
        <v/>
      </c>
      <c r="J49" s="9" t="n"/>
      <c r="K49" s="9" t="n"/>
      <c r="L49" s="9">
        <f>IF(I49="","",I49-IF(J49="",0,J49)-IF(K49="",0,K49))</f>
        <v/>
      </c>
      <c r="M49" s="9">
        <f>IF(E49="","",XLOOKUP(E49,'Master Data'!$E$5:$E$15,'Master Data'!$G$5:$G$15,0))</f>
        <v/>
      </c>
      <c r="N49" s="9">
        <f>IF(E49="","",XLOOKUP(E49,'Master Data'!$E$5:$E$15,'Master Data'!$H$5:$H$15,0))</f>
        <v/>
      </c>
      <c r="O49" s="9">
        <f>IF(L49="","",L49-M49-N49)</f>
        <v/>
      </c>
      <c r="P49" t="inlineStr">
        <is>
          <t>YES</t>
        </is>
      </c>
      <c r="Q49" t="inlineStr">
        <is>
          <t>2 EPOD</t>
        </is>
      </c>
      <c r="S49" s="9" t="n"/>
    </row>
    <row r="50">
      <c r="A50" t="n">
        <v>51</v>
      </c>
      <c r="B50" s="8" t="n">
        <v>46180.58777777778</v>
      </c>
      <c r="C50" t="inlineStr">
        <is>
          <t>BHARAT FERTILIZERS (SIS)</t>
        </is>
      </c>
      <c r="D50" t="inlineStr">
        <is>
          <t>KANTH (NP)</t>
        </is>
      </c>
      <c r="E50" t="inlineStr">
        <is>
          <t>UP25JT8804</t>
        </is>
      </c>
      <c r="F50">
        <f>IF(E50="","",XLOOKUP(E50,'Master Data'!$E$5:$E$15,'Master Data'!$F$5:$F$15,""))</f>
        <v/>
      </c>
      <c r="G50" t="n">
        <v>13</v>
      </c>
      <c r="H50" s="9" t="n">
        <v>393</v>
      </c>
      <c r="I50" s="9">
        <f>IF(OR(G50="",H50=""),"",G50*H50)</f>
        <v/>
      </c>
      <c r="J50" s="9" t="n"/>
      <c r="K50" s="9" t="n"/>
      <c r="L50" s="9">
        <f>IF(I50="","",I50-IF(J50="",0,J50)-IF(K50="",0,K50))</f>
        <v/>
      </c>
      <c r="M50" s="9">
        <f>IF(E50="","",XLOOKUP(E50,'Master Data'!$E$5:$E$15,'Master Data'!$G$5:$G$15,0))</f>
        <v/>
      </c>
      <c r="N50" s="9">
        <f>IF(E50="","",XLOOKUP(E50,'Master Data'!$E$5:$E$15,'Master Data'!$H$5:$H$15,0))</f>
        <v/>
      </c>
      <c r="O50" s="9">
        <f>IF(L50="","",L50-M50-N50)</f>
        <v/>
      </c>
      <c r="P50" t="inlineStr">
        <is>
          <t>YES</t>
        </is>
      </c>
      <c r="Q50" t="inlineStr">
        <is>
          <t>4 EPOD</t>
        </is>
      </c>
      <c r="S50" s="9" t="n"/>
    </row>
    <row r="51">
      <c r="A51" t="n">
        <v>53</v>
      </c>
      <c r="B51" s="8" t="n">
        <v>46180.75444444444</v>
      </c>
      <c r="C51" t="inlineStr">
        <is>
          <t>SHYAM NARAIN RAMESH KUMAR AND  SONS</t>
        </is>
      </c>
      <c r="D51" t="inlineStr">
        <is>
          <t>NADELI</t>
        </is>
      </c>
      <c r="E51" t="inlineStr">
        <is>
          <t>UP25CT2572</t>
        </is>
      </c>
      <c r="F51">
        <f>IF(E51="","",XLOOKUP(E51,'Master Data'!$E$5:$E$15,'Master Data'!$F$5:$F$15,""))</f>
        <v/>
      </c>
      <c r="G51" t="n">
        <v>25</v>
      </c>
      <c r="H51" s="9" t="n">
        <v>440</v>
      </c>
      <c r="I51" s="9">
        <f>IF(OR(G51="",H51=""),"",G51*H51)</f>
        <v/>
      </c>
      <c r="J51" s="9" t="n"/>
      <c r="K51" s="9" t="n"/>
      <c r="L51" s="9">
        <f>IF(I51="","",I51-IF(J51="",0,J51)-IF(K51="",0,K51))</f>
        <v/>
      </c>
      <c r="M51" s="9">
        <f>IF(E51="","",XLOOKUP(E51,'Master Data'!$E$5:$E$15,'Master Data'!$G$5:$G$15,0))</f>
        <v/>
      </c>
      <c r="N51" s="9">
        <f>IF(E51="","",XLOOKUP(E51,'Master Data'!$E$5:$E$15,'Master Data'!$H$5:$H$15,0))</f>
        <v/>
      </c>
      <c r="O51" s="9">
        <f>IF(L51="","",L51-M51-N51)</f>
        <v/>
      </c>
      <c r="Q51" t="inlineStr">
        <is>
          <t>5</t>
        </is>
      </c>
      <c r="S51" s="9" t="n"/>
    </row>
    <row r="52">
      <c r="A52" t="n">
        <v>52</v>
      </c>
      <c r="B52" s="8" t="n">
        <v>46180.67127314815</v>
      </c>
      <c r="C52" t="inlineStr">
        <is>
          <t>AMAN CEMENT STORE</t>
        </is>
      </c>
      <c r="D52" t="inlineStr">
        <is>
          <t>NAWABGANJ</t>
        </is>
      </c>
      <c r="E52" t="inlineStr">
        <is>
          <t>UP25DT5668</t>
        </is>
      </c>
      <c r="F52">
        <f>IF(E52="","",XLOOKUP(E52,'Master Data'!$E$5:$E$15,'Master Data'!$F$5:$F$15,""))</f>
        <v/>
      </c>
      <c r="G52" t="n">
        <v>25</v>
      </c>
      <c r="H52" s="9" t="n">
        <v>339</v>
      </c>
      <c r="I52" s="9">
        <f>IF(OR(G52="",H52=""),"",G52*H52)</f>
        <v/>
      </c>
      <c r="J52" s="9" t="n"/>
      <c r="K52" s="9" t="n"/>
      <c r="L52" s="9">
        <f>IF(I52="","",I52-IF(J52="",0,J52)-IF(K52="",0,K52))</f>
        <v/>
      </c>
      <c r="M52" s="9">
        <f>IF(E52="","",XLOOKUP(E52,'Master Data'!$E$5:$E$15,'Master Data'!$G$5:$G$15,0))</f>
        <v/>
      </c>
      <c r="N52" s="9">
        <f>IF(E52="","",XLOOKUP(E52,'Master Data'!$E$5:$E$15,'Master Data'!$H$5:$H$15,0))</f>
        <v/>
      </c>
      <c r="O52" s="9">
        <f>IF(L52="","",L52-M52-N52)</f>
        <v/>
      </c>
      <c r="Q52" t="inlineStr">
        <is>
          <t>3</t>
        </is>
      </c>
      <c r="S52" s="9" t="n"/>
    </row>
    <row r="53">
      <c r="A53" t="n">
        <v>55</v>
      </c>
      <c r="B53" s="8" t="n">
        <v>46180.71262731482</v>
      </c>
      <c r="C53" t="inlineStr">
        <is>
          <t>SHIV SHAKTI TRADERS</t>
        </is>
      </c>
      <c r="D53" t="inlineStr">
        <is>
          <t>Rajepur</t>
        </is>
      </c>
      <c r="E53" t="inlineStr">
        <is>
          <t>UP76K8251</t>
        </is>
      </c>
      <c r="F53">
        <f>IF(E53="","",XLOOKUP(E53,'Master Data'!$E$5:$E$15,'Master Data'!$F$5:$F$15,""))</f>
        <v/>
      </c>
      <c r="G53" t="n">
        <v>5</v>
      </c>
      <c r="H53" s="9" t="n">
        <v>345</v>
      </c>
      <c r="I53" s="9">
        <f>IF(OR(G53="",H53=""),"",G53*H53)</f>
        <v/>
      </c>
      <c r="J53" s="9" t="n"/>
      <c r="K53" s="9" t="n"/>
      <c r="L53" s="9">
        <f>IF(I53="","",I53-IF(J53="",0,J53)-IF(K53="",0,K53))</f>
        <v/>
      </c>
      <c r="M53" s="9">
        <f>IF(E53="","",XLOOKUP(E53,'Master Data'!$E$5:$E$15,'Master Data'!$G$5:$G$15,0))</f>
        <v/>
      </c>
      <c r="N53" s="9">
        <f>IF(E53="","",XLOOKUP(E53,'Master Data'!$E$5:$E$15,'Master Data'!$H$5:$H$15,0))</f>
        <v/>
      </c>
      <c r="O53" s="9">
        <f>IF(L53="","",L53-M53-N53)</f>
        <v/>
      </c>
      <c r="Q53" t="inlineStr">
        <is>
          <t>3</t>
        </is>
      </c>
      <c r="S53" s="9" t="n"/>
    </row>
    <row r="54">
      <c r="A54" t="n">
        <v>54</v>
      </c>
      <c r="B54" s="8" t="n">
        <v>46180.71317129629</v>
      </c>
      <c r="C54" t="inlineStr">
        <is>
          <t>SHIV SHAKTI TRADERS</t>
        </is>
      </c>
      <c r="D54" t="inlineStr">
        <is>
          <t>Rajepur</t>
        </is>
      </c>
      <c r="E54" t="inlineStr">
        <is>
          <t>UP76K8251</t>
        </is>
      </c>
      <c r="F54">
        <f>IF(E54="","",XLOOKUP(E54,'Master Data'!$E$5:$E$15,'Master Data'!$F$5:$F$15,""))</f>
        <v/>
      </c>
      <c r="G54" t="n">
        <v>20</v>
      </c>
      <c r="H54" s="9" t="n">
        <v>345</v>
      </c>
      <c r="I54" s="9">
        <f>IF(OR(G54="",H54=""),"",G54*H54)</f>
        <v/>
      </c>
      <c r="J54" s="9" t="n"/>
      <c r="K54" s="9" t="n"/>
      <c r="L54" s="9">
        <f>IF(I54="","",I54-IF(J54="",0,J54)-IF(K54="",0,K54))</f>
        <v/>
      </c>
      <c r="M54" s="9">
        <f>IF(E54="","",XLOOKUP(E54,'Master Data'!$E$5:$E$15,'Master Data'!$G$5:$G$15,0))</f>
        <v/>
      </c>
      <c r="N54" s="9">
        <f>IF(E54="","",XLOOKUP(E54,'Master Data'!$E$5:$E$15,'Master Data'!$H$5:$H$15,0))</f>
        <v/>
      </c>
      <c r="O54" s="9">
        <f>IF(L54="","",L54-M54-N54)</f>
        <v/>
      </c>
      <c r="Q54" t="inlineStr">
        <is>
          <t>3</t>
        </is>
      </c>
      <c r="S54" s="9" t="n"/>
    </row>
    <row r="55">
      <c r="A55" t="n">
        <v>56</v>
      </c>
      <c r="B55" s="8" t="n">
        <v>46180.83799768519</v>
      </c>
      <c r="C55" t="inlineStr">
        <is>
          <t>CHAWLA ISPAT PVT LTD</t>
        </is>
      </c>
      <c r="D55" t="inlineStr">
        <is>
          <t>RUDRAPUR</t>
        </is>
      </c>
      <c r="E55" t="inlineStr">
        <is>
          <t>UP25DT1881</t>
        </is>
      </c>
      <c r="F55">
        <f>IF(E55="","",XLOOKUP(E55,'Master Data'!$E$5:$E$15,'Master Data'!$F$5:$F$15,""))</f>
        <v/>
      </c>
      <c r="G55" t="n">
        <v>35</v>
      </c>
      <c r="H55" s="9" t="n">
        <v>454</v>
      </c>
      <c r="I55" s="9">
        <f>IF(OR(G55="",H55=""),"",G55*H55)</f>
        <v/>
      </c>
      <c r="J55" s="9" t="n"/>
      <c r="K55" s="9" t="n"/>
      <c r="L55" s="9">
        <f>IF(I55="","",I55-IF(J55="",0,J55)-IF(K55="",0,K55))</f>
        <v/>
      </c>
      <c r="M55" s="9">
        <f>IF(E55="","",XLOOKUP(E55,'Master Data'!$E$5:$E$15,'Master Data'!$G$5:$G$15,0))</f>
        <v/>
      </c>
      <c r="N55" s="9">
        <f>IF(E55="","",XLOOKUP(E55,'Master Data'!$E$5:$E$15,'Master Data'!$H$5:$H$15,0))</f>
        <v/>
      </c>
      <c r="O55" s="9">
        <f>IF(L55="","",L55-M55-N55)</f>
        <v/>
      </c>
      <c r="Q55" t="inlineStr">
        <is>
          <t>3</t>
        </is>
      </c>
      <c r="S55" s="9" t="n"/>
    </row>
    <row r="56">
      <c r="A56" t="n">
        <v>57</v>
      </c>
      <c r="B56" s="8" t="n">
        <v>46180.83810185185</v>
      </c>
      <c r="C56" t="inlineStr">
        <is>
          <t>JAI BHARAT ENTERPRISES (SIS)</t>
        </is>
      </c>
      <c r="D56" t="inlineStr">
        <is>
          <t>J.B GANJ</t>
        </is>
      </c>
      <c r="E56" t="inlineStr">
        <is>
          <t>UP25JT8803</t>
        </is>
      </c>
      <c r="F56">
        <f>IF(E56="","",XLOOKUP(E56,'Master Data'!$E$5:$E$15,'Master Data'!$F$5:$F$15,""))</f>
        <v/>
      </c>
      <c r="G56" t="n">
        <v>13</v>
      </c>
      <c r="H56" s="9" t="n">
        <v>490</v>
      </c>
      <c r="I56" s="9">
        <f>IF(OR(G56="",H56=""),"",G56*H56)</f>
        <v/>
      </c>
      <c r="J56" s="9" t="n"/>
      <c r="K56" s="9" t="n"/>
      <c r="L56" s="9">
        <f>IF(I56="","",I56-IF(J56="",0,J56)-IF(K56="",0,K56))</f>
        <v/>
      </c>
      <c r="M56" s="9">
        <f>IF(E56="","",XLOOKUP(E56,'Master Data'!$E$5:$E$15,'Master Data'!$G$5:$G$15,0))</f>
        <v/>
      </c>
      <c r="N56" s="9">
        <f>IF(E56="","",XLOOKUP(E56,'Master Data'!$E$5:$E$15,'Master Data'!$H$5:$H$15,0))</f>
        <v/>
      </c>
      <c r="O56" s="9">
        <f>IF(L56="","",L56-M56-N56)</f>
        <v/>
      </c>
      <c r="Q56" t="inlineStr">
        <is>
          <t>3</t>
        </is>
      </c>
      <c r="S56" s="9" t="n"/>
    </row>
    <row r="57">
      <c r="A57" t="n">
        <v>58</v>
      </c>
      <c r="B57" s="8" t="n">
        <v>46181.00480324074</v>
      </c>
      <c r="C57" t="inlineStr">
        <is>
          <t>R K CEMENT AGENCIES</t>
        </is>
      </c>
      <c r="D57" t="inlineStr">
        <is>
          <t>SHAHBAD (HARDOI)</t>
        </is>
      </c>
      <c r="E57" t="inlineStr">
        <is>
          <t>UP25JT8802</t>
        </is>
      </c>
      <c r="F57">
        <f>IF(E57="","",XLOOKUP(E57,'Master Data'!$E$5:$E$15,'Master Data'!$F$5:$F$15,""))</f>
        <v/>
      </c>
      <c r="G57" t="n">
        <v>13</v>
      </c>
      <c r="H57" s="9" t="n">
        <v>449</v>
      </c>
      <c r="I57" s="9">
        <f>IF(OR(G57="",H57=""),"",G57*H57)</f>
        <v/>
      </c>
      <c r="J57" s="9" t="n"/>
      <c r="K57" s="9" t="n"/>
      <c r="L57" s="9">
        <f>IF(I57="","",I57-IF(J57="",0,J57)-IF(K57="",0,K57))</f>
        <v/>
      </c>
      <c r="M57" s="9">
        <f>IF(E57="","",XLOOKUP(E57,'Master Data'!$E$5:$E$15,'Master Data'!$G$5:$G$15,0))</f>
        <v/>
      </c>
      <c r="N57" s="9">
        <f>IF(E57="","",XLOOKUP(E57,'Master Data'!$E$5:$E$15,'Master Data'!$H$5:$H$15,0))</f>
        <v/>
      </c>
      <c r="O57" s="9">
        <f>IF(L57="","",L57-M57-N57)</f>
        <v/>
      </c>
      <c r="P57" t="inlineStr">
        <is>
          <t>YES</t>
        </is>
      </c>
      <c r="S57" s="9" t="n"/>
    </row>
    <row r="58">
      <c r="A58" t="n">
        <v>60</v>
      </c>
      <c r="B58" s="8" t="n">
        <v>46181.79592592592</v>
      </c>
      <c r="C58" t="inlineStr">
        <is>
          <t>SWASTIK ENTERPRISES</t>
        </is>
      </c>
      <c r="D58" t="inlineStr">
        <is>
          <t>PALIYA KALAN</t>
        </is>
      </c>
      <c r="E58" t="inlineStr">
        <is>
          <t>UP25CT7099</t>
        </is>
      </c>
      <c r="F58">
        <f>IF(E58="","",XLOOKUP(E58,'Master Data'!$E$5:$E$15,'Master Data'!$F$5:$F$15,""))</f>
        <v/>
      </c>
      <c r="G58" t="n">
        <v>15</v>
      </c>
      <c r="H58" s="9" t="n">
        <v>484</v>
      </c>
      <c r="I58" s="9">
        <f>IF(OR(G58="",H58=""),"",G58*H58)</f>
        <v/>
      </c>
      <c r="J58" s="9" t="n"/>
      <c r="K58" s="9" t="n"/>
      <c r="L58" s="9">
        <f>IF(I58="","",I58-IF(J58="",0,J58)-IF(K58="",0,K58))</f>
        <v/>
      </c>
      <c r="M58" s="9">
        <f>IF(E58="","",XLOOKUP(E58,'Master Data'!$E$5:$E$15,'Master Data'!$G$5:$G$15,0))</f>
        <v/>
      </c>
      <c r="N58" s="9">
        <f>IF(E58="","",XLOOKUP(E58,'Master Data'!$E$5:$E$15,'Master Data'!$H$5:$H$15,0))</f>
        <v/>
      </c>
      <c r="O58" s="9">
        <f>IF(L58="","",L58-M58-N58)</f>
        <v/>
      </c>
      <c r="P58" t="inlineStr">
        <is>
          <t>YES</t>
        </is>
      </c>
      <c r="S58" s="9" t="n"/>
    </row>
    <row r="59">
      <c r="A59" t="n">
        <v>59</v>
      </c>
      <c r="B59" s="8" t="n">
        <v>46181.79608796296</v>
      </c>
      <c r="C59" t="inlineStr">
        <is>
          <t>S M ENTERPRISES-SIS</t>
        </is>
      </c>
      <c r="D59" t="inlineStr">
        <is>
          <t>PALIYA KALAN</t>
        </is>
      </c>
      <c r="E59" t="inlineStr">
        <is>
          <t>UP25CT7099</t>
        </is>
      </c>
      <c r="F59">
        <f>IF(E59="","",XLOOKUP(E59,'Master Data'!$E$5:$E$15,'Master Data'!$F$5:$F$15,""))</f>
        <v/>
      </c>
      <c r="G59" t="n">
        <v>15</v>
      </c>
      <c r="H59" s="9" t="n">
        <v>484</v>
      </c>
      <c r="I59" s="9">
        <f>IF(OR(G59="",H59=""),"",G59*H59)</f>
        <v/>
      </c>
      <c r="J59" s="9" t="n"/>
      <c r="K59" s="9" t="n"/>
      <c r="L59" s="9">
        <f>IF(I59="","",I59-IF(J59="",0,J59)-IF(K59="",0,K59))</f>
        <v/>
      </c>
      <c r="M59" s="9">
        <f>IF(E59="","",XLOOKUP(E59,'Master Data'!$E$5:$E$15,'Master Data'!$G$5:$G$15,0))</f>
        <v/>
      </c>
      <c r="N59" s="9">
        <f>IF(E59="","",XLOOKUP(E59,'Master Data'!$E$5:$E$15,'Master Data'!$H$5:$H$15,0))</f>
        <v/>
      </c>
      <c r="O59" s="9">
        <f>IF(L59="","",L59-M59-N59)</f>
        <v/>
      </c>
      <c r="P59" t="inlineStr">
        <is>
          <t>YES</t>
        </is>
      </c>
      <c r="Q59" t="inlineStr">
        <is>
          <t>4 EPOD</t>
        </is>
      </c>
      <c r="S59" s="9" t="n"/>
    </row>
    <row r="60">
      <c r="A60" t="n">
        <v>61</v>
      </c>
      <c r="B60" s="8" t="n">
        <v>46182.2546412037</v>
      </c>
      <c r="C60" t="inlineStr">
        <is>
          <t>SAGAR TRADERS</t>
        </is>
      </c>
      <c r="D60" t="inlineStr">
        <is>
          <t>NIGOHI</t>
        </is>
      </c>
      <c r="E60" t="inlineStr">
        <is>
          <t>UP25JT8803</t>
        </is>
      </c>
      <c r="F60">
        <f>IF(E60="","",XLOOKUP(E60,'Master Data'!$E$5:$E$15,'Master Data'!$F$5:$F$15,""))</f>
        <v/>
      </c>
      <c r="G60" t="n">
        <v>13</v>
      </c>
      <c r="H60" s="9" t="n">
        <v>360</v>
      </c>
      <c r="I60" s="9">
        <f>IF(OR(G60="",H60=""),"",G60*H60)</f>
        <v/>
      </c>
      <c r="J60" s="9" t="n"/>
      <c r="K60" s="9" t="n"/>
      <c r="L60" s="9">
        <f>IF(I60="","",I60-IF(J60="",0,J60)-IF(K60="",0,K60))</f>
        <v/>
      </c>
      <c r="M60" s="9">
        <f>IF(E60="","",XLOOKUP(E60,'Master Data'!$E$5:$E$15,'Master Data'!$G$5:$G$15,0))</f>
        <v/>
      </c>
      <c r="N60" s="9">
        <f>IF(E60="","",XLOOKUP(E60,'Master Data'!$E$5:$E$15,'Master Data'!$H$5:$H$15,0))</f>
        <v/>
      </c>
      <c r="O60" s="9">
        <f>IF(L60="","",L60-M60-N60)</f>
        <v/>
      </c>
      <c r="P60" t="inlineStr">
        <is>
          <t>YES</t>
        </is>
      </c>
      <c r="Q60" t="inlineStr">
        <is>
          <t>2 EPOD</t>
        </is>
      </c>
      <c r="S60" s="9" t="n"/>
    </row>
    <row r="61">
      <c r="A61" t="n">
        <v>62</v>
      </c>
      <c r="B61" s="8" t="n">
        <v>46181.92083333333</v>
      </c>
      <c r="C61" t="inlineStr">
        <is>
          <t>BHARAT BUILDERS</t>
        </is>
      </c>
      <c r="D61" t="inlineStr">
        <is>
          <t>KHUDAGANJ (NP)</t>
        </is>
      </c>
      <c r="E61" t="inlineStr">
        <is>
          <t>UP25JT8804</t>
        </is>
      </c>
      <c r="F61">
        <f>IF(E61="","",XLOOKUP(E61,'Master Data'!$E$5:$E$15,'Master Data'!$F$5:$F$15,""))</f>
        <v/>
      </c>
      <c r="G61" t="n">
        <v>13</v>
      </c>
      <c r="H61" s="9" t="n">
        <v>297</v>
      </c>
      <c r="I61" s="9">
        <f>IF(OR(G61="",H61=""),"",G61*H61)</f>
        <v/>
      </c>
      <c r="J61" s="9" t="n"/>
      <c r="K61" s="9" t="n"/>
      <c r="L61" s="9">
        <f>IF(I61="","",I61-IF(J61="",0,J61)-IF(K61="",0,K61))</f>
        <v/>
      </c>
      <c r="M61" s="9">
        <f>IF(E61="","",XLOOKUP(E61,'Master Data'!$E$5:$E$15,'Master Data'!$G$5:$G$15,0))</f>
        <v/>
      </c>
      <c r="N61" s="9">
        <f>IF(E61="","",XLOOKUP(E61,'Master Data'!$E$5:$E$15,'Master Data'!$H$5:$H$15,0))</f>
        <v/>
      </c>
      <c r="O61" s="9">
        <f>IF(L61="","",L61-M61-N61)</f>
        <v/>
      </c>
      <c r="P61" t="inlineStr">
        <is>
          <t>YES</t>
        </is>
      </c>
      <c r="Q61" t="inlineStr">
        <is>
          <t>4 EPOD</t>
        </is>
      </c>
      <c r="S61" s="9" t="n"/>
    </row>
    <row r="62">
      <c r="A62" t="n">
        <v>63</v>
      </c>
      <c r="B62" s="8" t="n">
        <v>46182.08773148148</v>
      </c>
      <c r="C62" t="inlineStr">
        <is>
          <t>DURGA BUILDING MATERIAL*</t>
        </is>
      </c>
      <c r="D62" t="inlineStr">
        <is>
          <t>KANTH (NP)</t>
        </is>
      </c>
      <c r="E62" t="inlineStr">
        <is>
          <t>UP25JT8802</t>
        </is>
      </c>
      <c r="F62">
        <f>IF(E62="","",XLOOKUP(E62,'Master Data'!$E$5:$E$15,'Master Data'!$F$5:$F$15,""))</f>
        <v/>
      </c>
      <c r="G62" t="n">
        <v>13</v>
      </c>
      <c r="H62" s="9" t="n">
        <v>389</v>
      </c>
      <c r="I62" s="9">
        <f>IF(OR(G62="",H62=""),"",G62*H62)</f>
        <v/>
      </c>
      <c r="J62" s="9" t="n"/>
      <c r="K62" s="9" t="n"/>
      <c r="L62" s="9">
        <f>IF(I62="","",I62-IF(J62="",0,J62)-IF(K62="",0,K62))</f>
        <v/>
      </c>
      <c r="M62" s="9">
        <f>IF(E62="","",XLOOKUP(E62,'Master Data'!$E$5:$E$15,'Master Data'!$G$5:$G$15,0))</f>
        <v/>
      </c>
      <c r="N62" s="9">
        <f>IF(E62="","",XLOOKUP(E62,'Master Data'!$E$5:$E$15,'Master Data'!$H$5:$H$15,0))</f>
        <v/>
      </c>
      <c r="O62" s="9">
        <f>IF(L62="","",L62-M62-N62)</f>
        <v/>
      </c>
      <c r="P62" t="inlineStr">
        <is>
          <t>YES</t>
        </is>
      </c>
      <c r="Q62" t="inlineStr">
        <is>
          <t>4 EPOD</t>
        </is>
      </c>
      <c r="S62" s="9" t="n"/>
    </row>
    <row r="63">
      <c r="A63" t="n">
        <v>64</v>
      </c>
      <c r="B63" s="8" t="n">
        <v>46182.62967592593</v>
      </c>
      <c r="C63" t="inlineStr">
        <is>
          <t>SHYAM NARAIN RAMESH KUMAR AND  SONS</t>
        </is>
      </c>
      <c r="D63" t="inlineStr">
        <is>
          <t>BAREILLY</t>
        </is>
      </c>
      <c r="E63" t="inlineStr">
        <is>
          <t>UP25CT4514</t>
        </is>
      </c>
      <c r="F63">
        <f>IF(E63="","",XLOOKUP(E63,'Master Data'!$E$5:$E$15,'Master Data'!$F$5:$F$15,""))</f>
        <v/>
      </c>
      <c r="G63" t="n">
        <v>25</v>
      </c>
      <c r="H63" s="9" t="n">
        <v>304</v>
      </c>
      <c r="I63" s="9">
        <f>IF(OR(G63="",H63=""),"",G63*H63)</f>
        <v/>
      </c>
      <c r="J63" s="9" t="n"/>
      <c r="K63" s="9" t="n">
        <v>5000</v>
      </c>
      <c r="L63" s="9">
        <f>IF(I63="","",I63-IF(J63="",0,J63)-IF(K63="",0,K63))</f>
        <v/>
      </c>
      <c r="M63" s="9">
        <f>IF(E63="","",XLOOKUP(E63,'Master Data'!$E$5:$E$15,'Master Data'!$G$5:$G$15,0))</f>
        <v/>
      </c>
      <c r="N63" s="9">
        <f>IF(E63="","",XLOOKUP(E63,'Master Data'!$E$5:$E$15,'Master Data'!$H$5:$H$15,0))</f>
        <v/>
      </c>
      <c r="O63" s="9">
        <f>IF(L63="","",L63-M63-N63)</f>
        <v/>
      </c>
      <c r="Q63" t="inlineStr">
        <is>
          <t>3</t>
        </is>
      </c>
      <c r="S63" s="9" t="n"/>
    </row>
    <row r="64">
      <c r="A64" t="n">
        <v>66</v>
      </c>
      <c r="B64" s="8" t="n">
        <v>46182.75436342593</v>
      </c>
      <c r="C64" t="inlineStr">
        <is>
          <t>GARG CEMENT STORE</t>
        </is>
      </c>
      <c r="D64" t="inlineStr">
        <is>
          <t>DUNKA</t>
        </is>
      </c>
      <c r="E64" t="inlineStr">
        <is>
          <t>UP27T0919</t>
        </is>
      </c>
      <c r="F64">
        <f>IF(E64="","",XLOOKUP(E64,'Master Data'!$E$5:$E$15,'Master Data'!$F$5:$F$15,""))</f>
        <v/>
      </c>
      <c r="G64" t="n">
        <v>18</v>
      </c>
      <c r="H64" s="9" t="n">
        <v>477</v>
      </c>
      <c r="I64" s="9">
        <f>IF(OR(G64="",H64=""),"",G64*H64)</f>
        <v/>
      </c>
      <c r="J64" s="9" t="n">
        <v>5000</v>
      </c>
      <c r="K64" s="9" t="n">
        <v>2000</v>
      </c>
      <c r="L64" s="9">
        <f>IF(I64="","",I64-IF(J64="",0,J64)-IF(K64="",0,K64))</f>
        <v/>
      </c>
      <c r="M64" s="9">
        <f>IF(E64="","",XLOOKUP(E64,'Master Data'!$E$5:$E$15,'Master Data'!$G$5:$G$15,0))</f>
        <v/>
      </c>
      <c r="N64" s="9">
        <f>IF(E64="","",XLOOKUP(E64,'Master Data'!$E$5:$E$15,'Master Data'!$H$5:$H$15,0))</f>
        <v/>
      </c>
      <c r="O64" s="9">
        <f>IF(L64="","",L64-M64-N64)</f>
        <v/>
      </c>
      <c r="Q64" t="inlineStr">
        <is>
          <t>9 EPOD</t>
        </is>
      </c>
      <c r="S64" s="9" t="n"/>
    </row>
    <row r="65">
      <c r="A65" t="n">
        <v>68</v>
      </c>
      <c r="B65" s="8" t="n">
        <v>46182.79600694445</v>
      </c>
      <c r="C65" t="inlineStr">
        <is>
          <t>JAI BHARAT ENTERPRISES (SIS)</t>
        </is>
      </c>
      <c r="D65" t="inlineStr">
        <is>
          <t>KHUDAGANJ (NP)</t>
        </is>
      </c>
      <c r="E65" t="inlineStr">
        <is>
          <t>UP25JT8802</t>
        </is>
      </c>
      <c r="F65">
        <f>IF(E65="","",XLOOKUP(E65,'Master Data'!$E$5:$E$15,'Master Data'!$F$5:$F$15,""))</f>
        <v/>
      </c>
      <c r="G65" t="n">
        <v>13</v>
      </c>
      <c r="H65" s="9" t="n">
        <v>297</v>
      </c>
      <c r="I65" s="9">
        <f>IF(OR(G65="",H65=""),"",G65*H65)</f>
        <v/>
      </c>
      <c r="J65" s="9" t="n"/>
      <c r="K65" s="9" t="n"/>
      <c r="L65" s="9">
        <f>IF(I65="","",I65-IF(J65="",0,J65)-IF(K65="",0,K65))</f>
        <v/>
      </c>
      <c r="M65" s="9">
        <f>IF(E65="","",XLOOKUP(E65,'Master Data'!$E$5:$E$15,'Master Data'!$G$5:$G$15,0))</f>
        <v/>
      </c>
      <c r="N65" s="9">
        <f>IF(E65="","",XLOOKUP(E65,'Master Data'!$E$5:$E$15,'Master Data'!$H$5:$H$15,0))</f>
        <v/>
      </c>
      <c r="O65" s="9">
        <f>IF(L65="","",L65-M65-N65)</f>
        <v/>
      </c>
      <c r="Q65" t="inlineStr">
        <is>
          <t>5</t>
        </is>
      </c>
      <c r="S65" s="9" t="n"/>
    </row>
    <row r="66">
      <c r="A66" t="n">
        <v>67</v>
      </c>
      <c r="B66" s="8" t="n">
        <v>46182.79648148148</v>
      </c>
      <c r="C66" t="inlineStr">
        <is>
          <t>JAI BHARAT ENTERPRISES (SIS)</t>
        </is>
      </c>
      <c r="D66" t="inlineStr">
        <is>
          <t>KATRA</t>
        </is>
      </c>
      <c r="E66" t="inlineStr">
        <is>
          <t>UP25JT8804</t>
        </is>
      </c>
      <c r="F66">
        <f>IF(E66="","",XLOOKUP(E66,'Master Data'!$E$5:$E$15,'Master Data'!$F$5:$F$15,""))</f>
        <v/>
      </c>
      <c r="G66" t="n">
        <v>13</v>
      </c>
      <c r="H66" s="9" t="n">
        <v>225</v>
      </c>
      <c r="I66" s="9">
        <f>IF(OR(G66="",H66=""),"",G66*H66)</f>
        <v/>
      </c>
      <c r="J66" s="9" t="n"/>
      <c r="K66" s="9" t="n"/>
      <c r="L66" s="9">
        <f>IF(I66="","",I66-IF(J66="",0,J66)-IF(K66="",0,K66))</f>
        <v/>
      </c>
      <c r="M66" s="9">
        <f>IF(E66="","",XLOOKUP(E66,'Master Data'!$E$5:$E$15,'Master Data'!$G$5:$G$15,0))</f>
        <v/>
      </c>
      <c r="N66" s="9">
        <f>IF(E66="","",XLOOKUP(E66,'Master Data'!$E$5:$E$15,'Master Data'!$H$5:$H$15,0))</f>
        <v/>
      </c>
      <c r="O66" s="9">
        <f>IF(L66="","",L66-M66-N66)</f>
        <v/>
      </c>
      <c r="Q66" t="inlineStr">
        <is>
          <t>5</t>
        </is>
      </c>
      <c r="S66" s="9" t="n"/>
    </row>
    <row r="67">
      <c r="A67" t="n">
        <v>69</v>
      </c>
      <c r="B67" s="8" t="n">
        <v>46183.17084490741</v>
      </c>
      <c r="C67" t="inlineStr">
        <is>
          <t>TAMEER TRADERS</t>
        </is>
      </c>
      <c r="D67" t="inlineStr">
        <is>
          <t>SHAHJHANPUR</t>
        </is>
      </c>
      <c r="E67" t="inlineStr">
        <is>
          <t>UP25JT8803</t>
        </is>
      </c>
      <c r="F67">
        <f>IF(E67="","",XLOOKUP(E67,'Master Data'!$E$5:$E$15,'Master Data'!$F$5:$F$15,""))</f>
        <v/>
      </c>
      <c r="G67" t="n">
        <v>13</v>
      </c>
      <c r="H67" s="9" t="n">
        <v>461</v>
      </c>
      <c r="I67" s="9">
        <f>IF(OR(G67="",H67=""),"",G67*H67)</f>
        <v/>
      </c>
      <c r="J67" s="9" t="n"/>
      <c r="K67" s="9" t="n"/>
      <c r="L67" s="9">
        <f>IF(I67="","",I67-IF(J67="",0,J67)-IF(K67="",0,K67))</f>
        <v/>
      </c>
      <c r="M67" s="9">
        <f>IF(E67="","",XLOOKUP(E67,'Master Data'!$E$5:$E$15,'Master Data'!$G$5:$G$15,0))</f>
        <v/>
      </c>
      <c r="N67" s="9">
        <f>IF(E67="","",XLOOKUP(E67,'Master Data'!$E$5:$E$15,'Master Data'!$H$5:$H$15,0))</f>
        <v/>
      </c>
      <c r="O67" s="9">
        <f>IF(L67="","",L67-M67-N67)</f>
        <v/>
      </c>
      <c r="Q67" t="inlineStr">
        <is>
          <t>3</t>
        </is>
      </c>
      <c r="S67" s="9" t="n"/>
    </row>
    <row r="68">
      <c r="A68" t="n">
        <v>70</v>
      </c>
      <c r="B68" s="8" t="n">
        <v>46182.79651620371</v>
      </c>
      <c r="C68" t="inlineStr">
        <is>
          <t>S M ENTERPRISES-SIS</t>
        </is>
      </c>
      <c r="D68" t="inlineStr">
        <is>
          <t>MITAULI</t>
        </is>
      </c>
      <c r="E68" t="inlineStr">
        <is>
          <t>UP22T5165</t>
        </is>
      </c>
      <c r="F68">
        <f>IF(E68="","",XLOOKUP(E68,'Master Data'!$E$5:$E$15,'Master Data'!$F$5:$F$15,""))</f>
        <v/>
      </c>
      <c r="G68" t="n">
        <v>25</v>
      </c>
      <c r="H68" s="9" t="n">
        <v>452</v>
      </c>
      <c r="I68" s="9">
        <f>IF(OR(G68="",H68=""),"",G68*H68)</f>
        <v/>
      </c>
      <c r="J68" s="9" t="n">
        <v>5000</v>
      </c>
      <c r="K68" s="9" t="n">
        <v>2000</v>
      </c>
      <c r="L68" s="9">
        <f>IF(I68="","",I68-IF(J68="",0,J68)-IF(K68="",0,K68))</f>
        <v/>
      </c>
      <c r="M68" s="9">
        <f>IF(E68="","",XLOOKUP(E68,'Master Data'!$E$5:$E$15,'Master Data'!$G$5:$G$15,0))</f>
        <v/>
      </c>
      <c r="N68" s="9">
        <f>IF(E68="","",XLOOKUP(E68,'Master Data'!$E$5:$E$15,'Master Data'!$H$5:$H$15,0))</f>
        <v/>
      </c>
      <c r="O68" s="9">
        <f>IF(L68="","",L68-M68-N68)</f>
        <v/>
      </c>
      <c r="P68" t="inlineStr">
        <is>
          <t>YES</t>
        </is>
      </c>
      <c r="Q68" t="inlineStr">
        <is>
          <t>2 EPOD</t>
        </is>
      </c>
      <c r="S68" s="9" t="n"/>
    </row>
    <row r="69">
      <c r="A69" t="n">
        <v>72</v>
      </c>
      <c r="B69" s="8" t="n">
        <v>46182.96304398148</v>
      </c>
      <c r="C69" t="inlineStr">
        <is>
          <t>PAL TRADERS</t>
        </is>
      </c>
      <c r="D69" t="inlineStr">
        <is>
          <t>PILIBHIT</t>
        </is>
      </c>
      <c r="E69" t="inlineStr">
        <is>
          <t>UP25CT2572</t>
        </is>
      </c>
      <c r="F69">
        <f>IF(E69="","",XLOOKUP(E69,'Master Data'!$E$5:$E$15,'Master Data'!$F$5:$F$15,""))</f>
        <v/>
      </c>
      <c r="G69" t="n">
        <v>25</v>
      </c>
      <c r="H69" s="9" t="n">
        <v>429</v>
      </c>
      <c r="I69" s="9">
        <f>IF(OR(G69="",H69=""),"",G69*H69)</f>
        <v/>
      </c>
      <c r="J69" s="9" t="n"/>
      <c r="K69" s="9" t="n"/>
      <c r="L69" s="9">
        <f>IF(I69="","",I69-IF(J69="",0,J69)-IF(K69="",0,K69))</f>
        <v/>
      </c>
      <c r="M69" s="9">
        <f>IF(E69="","",XLOOKUP(E69,'Master Data'!$E$5:$E$15,'Master Data'!$G$5:$G$15,0))</f>
        <v/>
      </c>
      <c r="N69" s="9">
        <f>IF(E69="","",XLOOKUP(E69,'Master Data'!$E$5:$E$15,'Master Data'!$H$5:$H$15,0))</f>
        <v/>
      </c>
      <c r="O69" s="9">
        <f>IF(L69="","",L69-M69-N69)</f>
        <v/>
      </c>
      <c r="Q69" t="inlineStr">
        <is>
          <t>5</t>
        </is>
      </c>
      <c r="S69" s="9" t="n"/>
    </row>
    <row r="70">
      <c r="A70" t="n">
        <v>71</v>
      </c>
      <c r="B70" s="8" t="n">
        <v>46183.17131944445</v>
      </c>
      <c r="C70" t="inlineStr">
        <is>
          <t>S M ENTERPRISES-SIS</t>
        </is>
      </c>
      <c r="D70" t="inlineStr">
        <is>
          <t>PALIYA KALAN</t>
        </is>
      </c>
      <c r="E70" t="inlineStr">
        <is>
          <t>UP25AT8981</t>
        </is>
      </c>
      <c r="F70">
        <f>IF(E70="","",XLOOKUP(E70,'Master Data'!$E$5:$E$15,'Master Data'!$F$5:$F$15,""))</f>
        <v/>
      </c>
      <c r="G70" t="n">
        <v>25</v>
      </c>
      <c r="H70" s="9" t="n">
        <v>490</v>
      </c>
      <c r="I70" s="9">
        <f>IF(OR(G70="",H70=""),"",G70*H70)</f>
        <v/>
      </c>
      <c r="J70" s="9" t="n"/>
      <c r="K70" s="9" t="n">
        <v>9500</v>
      </c>
      <c r="L70" s="9">
        <f>IF(I70="","",I70-IF(J70="",0,J70)-IF(K70="",0,K70))</f>
        <v/>
      </c>
      <c r="M70" s="9">
        <f>IF(E70="","",XLOOKUP(E70,'Master Data'!$E$5:$E$15,'Master Data'!$G$5:$G$15,0))</f>
        <v/>
      </c>
      <c r="N70" s="9">
        <f>IF(E70="","",XLOOKUP(E70,'Master Data'!$E$5:$E$15,'Master Data'!$H$5:$H$15,0))</f>
        <v/>
      </c>
      <c r="O70" s="9">
        <f>IF(L70="","",L70-M70-N70)</f>
        <v/>
      </c>
      <c r="P70" t="inlineStr">
        <is>
          <t>YES</t>
        </is>
      </c>
      <c r="Q70" t="inlineStr">
        <is>
          <t>4 EPOD</t>
        </is>
      </c>
      <c r="S70" s="9" t="n"/>
    </row>
    <row r="71">
      <c r="A71" t="n">
        <v>75</v>
      </c>
      <c r="B71" s="8" t="n">
        <v>46183.83773148148</v>
      </c>
      <c r="C71" t="inlineStr">
        <is>
          <t>GARG CEMENT STORE</t>
        </is>
      </c>
      <c r="D71" t="inlineStr">
        <is>
          <t>FATEHGANJ WEST</t>
        </is>
      </c>
      <c r="E71" t="inlineStr">
        <is>
          <t>UP25CT4514</t>
        </is>
      </c>
      <c r="F71">
        <f>IF(E71="","",XLOOKUP(E71,'Master Data'!$E$5:$E$15,'Master Data'!$F$5:$F$15,""))</f>
        <v/>
      </c>
      <c r="G71" t="n">
        <v>20</v>
      </c>
      <c r="H71" s="9" t="n">
        <v>386</v>
      </c>
      <c r="I71" s="9">
        <f>IF(OR(G71="",H71=""),"",G71*H71)</f>
        <v/>
      </c>
      <c r="J71" s="9" t="n"/>
      <c r="K71" s="9" t="n">
        <v>6000</v>
      </c>
      <c r="L71" s="9">
        <f>IF(I71="","",I71-IF(J71="",0,J71)-IF(K71="",0,K71))</f>
        <v/>
      </c>
      <c r="M71" s="9">
        <f>IF(E71="","",XLOOKUP(E71,'Master Data'!$E$5:$E$15,'Master Data'!$G$5:$G$15,0))</f>
        <v/>
      </c>
      <c r="N71" s="9">
        <f>IF(E71="","",XLOOKUP(E71,'Master Data'!$E$5:$E$15,'Master Data'!$H$5:$H$15,0))</f>
        <v/>
      </c>
      <c r="O71" s="9">
        <f>IF(L71="","",L71-M71-N71)</f>
        <v/>
      </c>
      <c r="Q71" t="inlineStr">
        <is>
          <t>9 EPOD</t>
        </is>
      </c>
      <c r="S71" s="9" t="n"/>
    </row>
    <row r="72">
      <c r="A72" t="n">
        <v>74</v>
      </c>
      <c r="B72" s="8" t="n">
        <v>46183.79622685185</v>
      </c>
      <c r="C72" t="inlineStr">
        <is>
          <t>NARIYAWAL CEMENT STORE</t>
        </is>
      </c>
      <c r="D72" t="inlineStr">
        <is>
          <t>BAREILLY</t>
        </is>
      </c>
      <c r="E72" t="inlineStr">
        <is>
          <t>UP25BT7464</t>
        </is>
      </c>
      <c r="F72">
        <f>IF(E72="","",XLOOKUP(E72,'Master Data'!$E$5:$E$15,'Master Data'!$F$5:$F$15,""))</f>
        <v/>
      </c>
      <c r="G72" t="n">
        <v>10</v>
      </c>
      <c r="H72" s="9" t="n">
        <v>299</v>
      </c>
      <c r="I72" s="9">
        <f>IF(OR(G72="",H72=""),"",G72*H72)</f>
        <v/>
      </c>
      <c r="J72" s="9" t="n"/>
      <c r="K72" s="9" t="n"/>
      <c r="L72" s="9">
        <f>IF(I72="","",I72-IF(J72="",0,J72)-IF(K72="",0,K72))</f>
        <v/>
      </c>
      <c r="M72" s="9">
        <f>IF(E72="","",XLOOKUP(E72,'Master Data'!$E$5:$E$15,'Master Data'!$G$5:$G$15,0))</f>
        <v/>
      </c>
      <c r="N72" s="9">
        <f>IF(E72="","",XLOOKUP(E72,'Master Data'!$E$5:$E$15,'Master Data'!$H$5:$H$15,0))</f>
        <v/>
      </c>
      <c r="O72" s="9">
        <f>IF(L72="","",L72-M72-N72)</f>
        <v/>
      </c>
      <c r="Q72" t="inlineStr">
        <is>
          <t>5</t>
        </is>
      </c>
      <c r="S72" s="9" t="n"/>
    </row>
    <row r="73">
      <c r="A73" t="n">
        <v>73</v>
      </c>
      <c r="B73" s="8" t="n">
        <v>46183.79599537037</v>
      </c>
      <c r="C73" t="inlineStr">
        <is>
          <t>GAURAV ENTERPRISES</t>
        </is>
      </c>
      <c r="D73" t="inlineStr">
        <is>
          <t>BAREILLY</t>
        </is>
      </c>
      <c r="E73" t="inlineStr">
        <is>
          <t>UP25BT7464</t>
        </is>
      </c>
      <c r="F73">
        <f>IF(E73="","",XLOOKUP(E73,'Master Data'!$E$5:$E$15,'Master Data'!$F$5:$F$15,""))</f>
        <v/>
      </c>
      <c r="G73" t="n">
        <v>20</v>
      </c>
      <c r="H73" s="9" t="n">
        <v>299</v>
      </c>
      <c r="I73" s="9">
        <f>IF(OR(G73="",H73=""),"",G73*H73)</f>
        <v/>
      </c>
      <c r="J73" s="9" t="n"/>
      <c r="K73" s="9" t="n"/>
      <c r="L73" s="9">
        <f>IF(I73="","",I73-IF(J73="",0,J73)-IF(K73="",0,K73))</f>
        <v/>
      </c>
      <c r="M73" s="9">
        <f>IF(E73="","",XLOOKUP(E73,'Master Data'!$E$5:$E$15,'Master Data'!$G$5:$G$15,0))</f>
        <v/>
      </c>
      <c r="N73" s="9">
        <f>IF(E73="","",XLOOKUP(E73,'Master Data'!$E$5:$E$15,'Master Data'!$H$5:$H$15,0))</f>
        <v/>
      </c>
      <c r="O73" s="9">
        <f>IF(L73="","",L73-M73-N73)</f>
        <v/>
      </c>
      <c r="Q73" t="inlineStr">
        <is>
          <t>5</t>
        </is>
      </c>
      <c r="S73" s="9" t="n"/>
    </row>
    <row r="74">
      <c r="A74" t="n">
        <v>77</v>
      </c>
      <c r="B74" s="8" t="n">
        <v>46183.83792824074</v>
      </c>
      <c r="C74" t="inlineStr">
        <is>
          <t>GARG CEMENT STORE</t>
        </is>
      </c>
      <c r="D74" t="inlineStr">
        <is>
          <t>FATEHGANJ WEST</t>
        </is>
      </c>
      <c r="E74" t="inlineStr">
        <is>
          <t>UP25AT3048</t>
        </is>
      </c>
      <c r="F74">
        <f>IF(E74="","",XLOOKUP(E74,'Master Data'!$E$5:$E$15,'Master Data'!$F$5:$F$15,""))</f>
        <v/>
      </c>
      <c r="G74" t="n">
        <v>20</v>
      </c>
      <c r="H74" s="9" t="n">
        <v>386</v>
      </c>
      <c r="I74" s="9">
        <f>IF(OR(G74="",H74=""),"",G74*H74)</f>
        <v/>
      </c>
      <c r="J74" s="9" t="n"/>
      <c r="K74" s="9" t="n"/>
      <c r="L74" s="9">
        <f>IF(I74="","",I74-IF(J74="",0,J74)-IF(K74="",0,K74))</f>
        <v/>
      </c>
      <c r="M74" s="9">
        <f>IF(E74="","",XLOOKUP(E74,'Master Data'!$E$5:$E$15,'Master Data'!$G$5:$G$15,0))</f>
        <v/>
      </c>
      <c r="N74" s="9">
        <f>IF(E74="","",XLOOKUP(E74,'Master Data'!$E$5:$E$15,'Master Data'!$H$5:$H$15,0))</f>
        <v/>
      </c>
      <c r="O74" s="9">
        <f>IF(L74="","",L74-M74-N74)</f>
        <v/>
      </c>
      <c r="P74" t="inlineStr">
        <is>
          <t>YES</t>
        </is>
      </c>
      <c r="Q74" t="inlineStr">
        <is>
          <t>9 EPOD</t>
        </is>
      </c>
      <c r="S74" s="9" t="n"/>
    </row>
    <row r="75">
      <c r="A75" t="n">
        <v>76</v>
      </c>
      <c r="B75" s="8" t="n">
        <v>46183.71283564815</v>
      </c>
      <c r="C75" t="inlineStr">
        <is>
          <t>BHARAT FERTILIZERS (SIS)</t>
        </is>
      </c>
      <c r="D75" t="inlineStr">
        <is>
          <t>POWAYAN</t>
        </is>
      </c>
      <c r="E75" t="inlineStr">
        <is>
          <t>UP25JT8802</t>
        </is>
      </c>
      <c r="F75">
        <f>IF(E75="","",XLOOKUP(E75,'Master Data'!$E$5:$E$15,'Master Data'!$F$5:$F$15,""))</f>
        <v/>
      </c>
      <c r="G75" t="n">
        <v>13</v>
      </c>
      <c r="H75" s="9" t="n">
        <v>461</v>
      </c>
      <c r="I75" s="9">
        <f>IF(OR(G75="",H75=""),"",G75*H75)</f>
        <v/>
      </c>
      <c r="J75" s="9" t="n"/>
      <c r="K75" s="9" t="n"/>
      <c r="L75" s="9">
        <f>IF(I75="","",I75-IF(J75="",0,J75)-IF(K75="",0,K75))</f>
        <v/>
      </c>
      <c r="M75" s="9">
        <f>IF(E75="","",XLOOKUP(E75,'Master Data'!$E$5:$E$15,'Master Data'!$G$5:$G$15,0))</f>
        <v/>
      </c>
      <c r="N75" s="9">
        <f>IF(E75="","",XLOOKUP(E75,'Master Data'!$E$5:$E$15,'Master Data'!$H$5:$H$15,0))</f>
        <v/>
      </c>
      <c r="O75" s="9">
        <f>IF(L75="","",L75-M75-N75)</f>
        <v/>
      </c>
      <c r="Q75" t="inlineStr">
        <is>
          <t>7 EPOD</t>
        </is>
      </c>
      <c r="S75" s="9" t="n"/>
    </row>
    <row r="76">
      <c r="A76" t="n">
        <v>78</v>
      </c>
      <c r="B76" s="8" t="n">
        <v>46183.71302083333</v>
      </c>
      <c r="C76" t="inlineStr">
        <is>
          <t>JAI BHARAT ENTERPRISES (SIS)</t>
        </is>
      </c>
      <c r="D76" t="inlineStr">
        <is>
          <t>NIGOHI</t>
        </is>
      </c>
      <c r="E76" t="inlineStr">
        <is>
          <t>UP25JT8803</t>
        </is>
      </c>
      <c r="F76">
        <f>IF(E76="","",XLOOKUP(E76,'Master Data'!$E$5:$E$15,'Master Data'!$F$5:$F$15,""))</f>
        <v/>
      </c>
      <c r="G76" t="n">
        <v>13</v>
      </c>
      <c r="H76" s="9" t="n">
        <v>360</v>
      </c>
      <c r="I76" s="9">
        <f>IF(OR(G76="",H76=""),"",G76*H76)</f>
        <v/>
      </c>
      <c r="J76" s="9" t="n"/>
      <c r="K76" s="9" t="n"/>
      <c r="L76" s="9">
        <f>IF(I76="","",I76-IF(J76="",0,J76)-IF(K76="",0,K76))</f>
        <v/>
      </c>
      <c r="M76" s="9">
        <f>IF(E76="","",XLOOKUP(E76,'Master Data'!$E$5:$E$15,'Master Data'!$G$5:$G$15,0))</f>
        <v/>
      </c>
      <c r="N76" s="9">
        <f>IF(E76="","",XLOOKUP(E76,'Master Data'!$E$5:$E$15,'Master Data'!$H$5:$H$15,0))</f>
        <v/>
      </c>
      <c r="O76" s="9">
        <f>IF(L76="","",L76-M76-N76)</f>
        <v/>
      </c>
      <c r="Q76" t="inlineStr">
        <is>
          <t>5</t>
        </is>
      </c>
      <c r="S76" s="9" t="n"/>
    </row>
    <row r="77">
      <c r="A77" t="n">
        <v>79</v>
      </c>
      <c r="B77" s="8" t="n">
        <v>46183.75467592593</v>
      </c>
      <c r="C77" t="inlineStr">
        <is>
          <t>BHARAT FERTILIZERS (SIS)</t>
        </is>
      </c>
      <c r="D77" t="inlineStr">
        <is>
          <t>KHUDAGANJ (NP)</t>
        </is>
      </c>
      <c r="E77" t="inlineStr">
        <is>
          <t>UP25JT8804</t>
        </is>
      </c>
      <c r="F77">
        <f>IF(E77="","",XLOOKUP(E77,'Master Data'!$E$5:$E$15,'Master Data'!$F$5:$F$15,""))</f>
        <v/>
      </c>
      <c r="G77" t="n">
        <v>13</v>
      </c>
      <c r="H77" s="9" t="n">
        <v>297</v>
      </c>
      <c r="I77" s="9">
        <f>IF(OR(G77="",H77=""),"",G77*H77)</f>
        <v/>
      </c>
      <c r="J77" s="9" t="n"/>
      <c r="K77" s="9" t="n"/>
      <c r="L77" s="9">
        <f>IF(I77="","",I77-IF(J77="",0,J77)-IF(K77="",0,K77))</f>
        <v/>
      </c>
      <c r="M77" s="9">
        <f>IF(E77="","",XLOOKUP(E77,'Master Data'!$E$5:$E$15,'Master Data'!$G$5:$G$15,0))</f>
        <v/>
      </c>
      <c r="N77" s="9">
        <f>IF(E77="","",XLOOKUP(E77,'Master Data'!$E$5:$E$15,'Master Data'!$H$5:$H$15,0))</f>
        <v/>
      </c>
      <c r="O77" s="9">
        <f>IF(L77="","",L77-M77-N77)</f>
        <v/>
      </c>
      <c r="P77" t="inlineStr">
        <is>
          <t>YES</t>
        </is>
      </c>
      <c r="Q77" t="inlineStr">
        <is>
          <t>4 EPOD</t>
        </is>
      </c>
      <c r="S77" s="9" t="n"/>
    </row>
    <row r="78">
      <c r="A78" t="n">
        <v>80</v>
      </c>
      <c r="B78" s="8" t="n">
        <v>46184.17103009259</v>
      </c>
      <c r="C78" t="inlineStr">
        <is>
          <t>ASHOKA BUILDTECH</t>
        </is>
      </c>
      <c r="D78" t="inlineStr">
        <is>
          <t>BHUTA</t>
        </is>
      </c>
      <c r="E78" t="inlineStr">
        <is>
          <t>UP25DT1881</t>
        </is>
      </c>
      <c r="F78">
        <f>IF(E78="","",XLOOKUP(E78,'Master Data'!$E$5:$E$15,'Master Data'!$F$5:$F$15,""))</f>
        <v/>
      </c>
      <c r="G78" t="n">
        <v>35</v>
      </c>
      <c r="H78" s="9" t="n">
        <v>212</v>
      </c>
      <c r="I78" s="9">
        <f>IF(OR(G78="",H78=""),"",G78*H78)</f>
        <v/>
      </c>
      <c r="J78" s="9" t="n"/>
      <c r="K78" s="9" t="n"/>
      <c r="L78" s="9">
        <f>IF(I78="","",I78-IF(J78="",0,J78)-IF(K78="",0,K78))</f>
        <v/>
      </c>
      <c r="M78" s="9">
        <f>IF(E78="","",XLOOKUP(E78,'Master Data'!$E$5:$E$15,'Master Data'!$G$5:$G$15,0))</f>
        <v/>
      </c>
      <c r="N78" s="9">
        <f>IF(E78="","",XLOOKUP(E78,'Master Data'!$E$5:$E$15,'Master Data'!$H$5:$H$15,0))</f>
        <v/>
      </c>
      <c r="O78" s="9">
        <f>IF(L78="","",L78-M78-N78)</f>
        <v/>
      </c>
      <c r="Q78" t="inlineStr">
        <is>
          <t>3</t>
        </is>
      </c>
      <c r="S78" s="9" t="n"/>
    </row>
    <row r="79">
      <c r="A79" t="n">
        <v>81</v>
      </c>
      <c r="B79" s="8" t="n">
        <v>46184.54641203704</v>
      </c>
      <c r="C79" t="inlineStr">
        <is>
          <t>GOEL DISTRIBUTORS</t>
        </is>
      </c>
      <c r="D79" t="inlineStr">
        <is>
          <t>BHOJIPURA</t>
        </is>
      </c>
      <c r="E79" t="inlineStr">
        <is>
          <t>UP27T0919</t>
        </is>
      </c>
      <c r="F79">
        <f>IF(E79="","",XLOOKUP(E79,'Master Data'!$E$5:$E$15,'Master Data'!$F$5:$F$15,""))</f>
        <v/>
      </c>
      <c r="G79" t="n">
        <v>20</v>
      </c>
      <c r="H79" s="9" t="n">
        <v>376</v>
      </c>
      <c r="I79" s="9">
        <f>IF(OR(G79="",H79=""),"",G79*H79)</f>
        <v/>
      </c>
      <c r="J79" s="9" t="n"/>
      <c r="K79" s="9" t="n"/>
      <c r="L79" s="9">
        <f>IF(I79="","",I79-IF(J79="",0,J79)-IF(K79="",0,K79))</f>
        <v/>
      </c>
      <c r="M79" s="9">
        <f>IF(E79="","",XLOOKUP(E79,'Master Data'!$E$5:$E$15,'Master Data'!$G$5:$G$15,0))</f>
        <v/>
      </c>
      <c r="N79" s="9">
        <f>IF(E79="","",XLOOKUP(E79,'Master Data'!$E$5:$E$15,'Master Data'!$H$5:$H$15,0))</f>
        <v/>
      </c>
      <c r="O79" s="9">
        <f>IF(L79="","",L79-M79-N79)</f>
        <v/>
      </c>
      <c r="Q79" t="inlineStr">
        <is>
          <t>6</t>
        </is>
      </c>
      <c r="S79" s="9" t="n"/>
    </row>
    <row r="80">
      <c r="A80" t="n">
        <v>82</v>
      </c>
      <c r="B80" s="8" t="n">
        <v>46184.67089120371</v>
      </c>
      <c r="C80" t="inlineStr">
        <is>
          <t>AGARWAL CEMENT AGENCIES</t>
        </is>
      </c>
      <c r="D80" t="inlineStr">
        <is>
          <t>MILAK</t>
        </is>
      </c>
      <c r="E80" t="inlineStr">
        <is>
          <t>UP25CT4514</t>
        </is>
      </c>
      <c r="F80">
        <f>IF(E80="","",XLOOKUP(E80,'Master Data'!$E$5:$E$15,'Master Data'!$F$5:$F$15,""))</f>
        <v/>
      </c>
      <c r="G80" t="n">
        <v>25</v>
      </c>
      <c r="H80" s="9" t="n">
        <v>431</v>
      </c>
      <c r="I80" s="9">
        <f>IF(OR(G80="",H80=""),"",G80*H80)</f>
        <v/>
      </c>
      <c r="J80" s="9" t="n"/>
      <c r="K80" s="9" t="n"/>
      <c r="L80" s="9">
        <f>IF(I80="","",I80-IF(J80="",0,J80)-IF(K80="",0,K80))</f>
        <v/>
      </c>
      <c r="M80" s="9">
        <f>IF(E80="","",XLOOKUP(E80,'Master Data'!$E$5:$E$15,'Master Data'!$G$5:$G$15,0))</f>
        <v/>
      </c>
      <c r="N80" s="9">
        <f>IF(E80="","",XLOOKUP(E80,'Master Data'!$E$5:$E$15,'Master Data'!$H$5:$H$15,0))</f>
        <v/>
      </c>
      <c r="O80" s="9">
        <f>IF(L80="","",L80-M80-N80)</f>
        <v/>
      </c>
      <c r="P80" t="inlineStr">
        <is>
          <t>YES</t>
        </is>
      </c>
      <c r="Q80" t="inlineStr">
        <is>
          <t>4 EPOD</t>
        </is>
      </c>
      <c r="S80" s="9" t="n"/>
    </row>
    <row r="81">
      <c r="A81" t="n">
        <v>83</v>
      </c>
      <c r="B81" s="8" t="n">
        <v>46184.75452546297</v>
      </c>
      <c r="C81" t="inlineStr">
        <is>
          <t>ALOK TRADERS</t>
        </is>
      </c>
      <c r="D81" t="inlineStr">
        <is>
          <t>BISALPUR</t>
        </is>
      </c>
      <c r="E81" t="inlineStr">
        <is>
          <t>UP25AT8981</t>
        </is>
      </c>
      <c r="F81">
        <f>IF(E81="","",XLOOKUP(E81,'Master Data'!$E$5:$E$15,'Master Data'!$F$5:$F$15,""))</f>
        <v/>
      </c>
      <c r="G81" t="n">
        <v>20</v>
      </c>
      <c r="H81" s="9" t="n">
        <v>340</v>
      </c>
      <c r="I81" s="9">
        <f>IF(OR(G81="",H81=""),"",G81*H81)</f>
        <v/>
      </c>
      <c r="J81" s="9" t="n"/>
      <c r="K81" s="9" t="n">
        <v>5000</v>
      </c>
      <c r="L81" s="9">
        <f>IF(I81="","",I81-IF(J81="",0,J81)-IF(K81="",0,K81))</f>
        <v/>
      </c>
      <c r="M81" s="9">
        <f>IF(E81="","",XLOOKUP(E81,'Master Data'!$E$5:$E$15,'Master Data'!$G$5:$G$15,0))</f>
        <v/>
      </c>
      <c r="N81" s="9">
        <f>IF(E81="","",XLOOKUP(E81,'Master Data'!$E$5:$E$15,'Master Data'!$H$5:$H$15,0))</f>
        <v/>
      </c>
      <c r="O81" s="9">
        <f>IF(L81="","",L81-M81-N81)</f>
        <v/>
      </c>
      <c r="Q81" t="inlineStr">
        <is>
          <t>2 EPOD</t>
        </is>
      </c>
      <c r="S81" s="9" t="n"/>
    </row>
    <row r="82">
      <c r="A82" t="n">
        <v>84</v>
      </c>
      <c r="B82" s="8" t="n">
        <v>46184.71295138889</v>
      </c>
      <c r="C82" t="inlineStr">
        <is>
          <t>BHARAT FERTILIZERS (SIS)</t>
        </is>
      </c>
      <c r="D82" t="inlineStr">
        <is>
          <t>BARKHERA JAIPAL</t>
        </is>
      </c>
      <c r="E82" t="inlineStr">
        <is>
          <t>UP25JT8804</t>
        </is>
      </c>
      <c r="F82">
        <f>IF(E82="","",XLOOKUP(E82,'Master Data'!$E$5:$E$15,'Master Data'!$F$5:$F$15,""))</f>
        <v/>
      </c>
      <c r="G82" t="n">
        <v>13</v>
      </c>
      <c r="H82" s="9" t="n">
        <v>259</v>
      </c>
      <c r="I82" s="9">
        <f>IF(OR(G82="",H82=""),"",G82*H82)</f>
        <v/>
      </c>
      <c r="J82" s="9" t="n"/>
      <c r="K82" s="9" t="n"/>
      <c r="L82" s="9">
        <f>IF(I82="","",I82-IF(J82="",0,J82)-IF(K82="",0,K82))</f>
        <v/>
      </c>
      <c r="M82" s="9">
        <f>IF(E82="","",XLOOKUP(E82,'Master Data'!$E$5:$E$15,'Master Data'!$G$5:$G$15,0))</f>
        <v/>
      </c>
      <c r="N82" s="9">
        <f>IF(E82="","",XLOOKUP(E82,'Master Data'!$E$5:$E$15,'Master Data'!$H$5:$H$15,0))</f>
        <v/>
      </c>
      <c r="O82" s="9">
        <f>IF(L82="","",L82-M82-N82)</f>
        <v/>
      </c>
      <c r="P82" t="inlineStr">
        <is>
          <t>YES</t>
        </is>
      </c>
      <c r="Q82" t="inlineStr">
        <is>
          <t>4 EPOD</t>
        </is>
      </c>
      <c r="S82" s="9" t="n"/>
    </row>
    <row r="83">
      <c r="A83" t="n">
        <v>85</v>
      </c>
      <c r="B83" s="8" t="n">
        <v>46184.87939814815</v>
      </c>
      <c r="C83" t="inlineStr">
        <is>
          <t>MADAAN AGRICULTURE STORE</t>
        </is>
      </c>
      <c r="D83" t="inlineStr">
        <is>
          <t>KICHHA</t>
        </is>
      </c>
      <c r="E83" t="inlineStr">
        <is>
          <t>UP25DT1881</t>
        </is>
      </c>
      <c r="F83">
        <f>IF(E83="","",XLOOKUP(E83,'Master Data'!$E$5:$E$15,'Master Data'!$F$5:$F$15,""))</f>
        <v/>
      </c>
      <c r="G83" t="n">
        <v>35</v>
      </c>
      <c r="H83" s="9" t="n">
        <v>422</v>
      </c>
      <c r="I83" s="9">
        <f>IF(OR(G83="",H83=""),"",G83*H83)</f>
        <v/>
      </c>
      <c r="J83" s="9" t="n"/>
      <c r="K83" s="9" t="n"/>
      <c r="L83" s="9">
        <f>IF(I83="","",I83-IF(J83="",0,J83)-IF(K83="",0,K83))</f>
        <v/>
      </c>
      <c r="M83" s="9">
        <f>IF(E83="","",XLOOKUP(E83,'Master Data'!$E$5:$E$15,'Master Data'!$G$5:$G$15,0))</f>
        <v/>
      </c>
      <c r="N83" s="9">
        <f>IF(E83="","",XLOOKUP(E83,'Master Data'!$E$5:$E$15,'Master Data'!$H$5:$H$15,0))</f>
        <v/>
      </c>
      <c r="O83" s="9">
        <f>IF(L83="","",L83-M83-N83)</f>
        <v/>
      </c>
      <c r="Q83" t="inlineStr">
        <is>
          <t>3</t>
        </is>
      </c>
      <c r="S83" s="9" t="n"/>
    </row>
    <row r="84">
      <c r="A84" t="n">
        <v>86</v>
      </c>
      <c r="B84" s="8" t="n">
        <v>46184.87951388889</v>
      </c>
      <c r="C84" t="inlineStr">
        <is>
          <t>AGARWAL CEMENT AGENCIES</t>
        </is>
      </c>
      <c r="D84" t="inlineStr">
        <is>
          <t>MILAK</t>
        </is>
      </c>
      <c r="E84" t="inlineStr">
        <is>
          <t>UP22T5165</t>
        </is>
      </c>
      <c r="F84">
        <f>IF(E84="","",XLOOKUP(E84,'Master Data'!$E$5:$E$15,'Master Data'!$F$5:$F$15,""))</f>
        <v/>
      </c>
      <c r="G84" t="n">
        <v>25</v>
      </c>
      <c r="H84" s="9" t="n">
        <v>431</v>
      </c>
      <c r="I84" s="9">
        <f>IF(OR(G84="",H84=""),"",G84*H84)</f>
        <v/>
      </c>
      <c r="J84" s="9" t="n"/>
      <c r="K84" s="9" t="n"/>
      <c r="L84" s="9">
        <f>IF(I84="","",I84-IF(J84="",0,J84)-IF(K84="",0,K84))</f>
        <v/>
      </c>
      <c r="M84" s="9">
        <f>IF(E84="","",XLOOKUP(E84,'Master Data'!$E$5:$E$15,'Master Data'!$G$5:$G$15,0))</f>
        <v/>
      </c>
      <c r="N84" s="9">
        <f>IF(E84="","",XLOOKUP(E84,'Master Data'!$E$5:$E$15,'Master Data'!$H$5:$H$15,0))</f>
        <v/>
      </c>
      <c r="O84" s="9">
        <f>IF(L84="","",L84-M84-N84)</f>
        <v/>
      </c>
      <c r="P84" t="inlineStr">
        <is>
          <t>YES</t>
        </is>
      </c>
      <c r="S84" s="9" t="n"/>
    </row>
    <row r="85">
      <c r="A85" t="n">
        <v>88</v>
      </c>
      <c r="B85" s="8" t="n">
        <v>46185.62984953704</v>
      </c>
      <c r="C85" t="inlineStr">
        <is>
          <t>BHARAT FERTILIZERS (SIS)</t>
        </is>
      </c>
      <c r="D85" t="inlineStr">
        <is>
          <t>KHUDAGANJ (NP)</t>
        </is>
      </c>
      <c r="E85" t="inlineStr">
        <is>
          <t>UP25JT8804</t>
        </is>
      </c>
      <c r="F85">
        <f>IF(E85="","",XLOOKUP(E85,'Master Data'!$E$5:$E$15,'Master Data'!$F$5:$F$15,""))</f>
        <v/>
      </c>
      <c r="G85" t="n">
        <v>13</v>
      </c>
      <c r="H85" s="9" t="n">
        <v>297</v>
      </c>
      <c r="I85" s="9">
        <f>IF(OR(G85="",H85=""),"",G85*H85)</f>
        <v/>
      </c>
      <c r="J85" s="9" t="n"/>
      <c r="K85" s="9" t="n"/>
      <c r="L85" s="9">
        <f>IF(I85="","",I85-IF(J85="",0,J85)-IF(K85="",0,K85))</f>
        <v/>
      </c>
      <c r="M85" s="9">
        <f>IF(E85="","",XLOOKUP(E85,'Master Data'!$E$5:$E$15,'Master Data'!$G$5:$G$15,0))</f>
        <v/>
      </c>
      <c r="N85" s="9">
        <f>IF(E85="","",XLOOKUP(E85,'Master Data'!$E$5:$E$15,'Master Data'!$H$5:$H$15,0))</f>
        <v/>
      </c>
      <c r="O85" s="9">
        <f>IF(L85="","",L85-M85-N85)</f>
        <v/>
      </c>
      <c r="P85" t="inlineStr">
        <is>
          <t>YES</t>
        </is>
      </c>
      <c r="Q85" t="inlineStr">
        <is>
          <t>7 EPOD</t>
        </is>
      </c>
      <c r="S85" s="9" t="n"/>
    </row>
    <row r="86">
      <c r="A86" t="n">
        <v>87</v>
      </c>
      <c r="B86" s="8" t="n">
        <v>46185.67121527778</v>
      </c>
      <c r="C86" t="inlineStr">
        <is>
          <t>BHARAT FERTILIZERS (SIS)</t>
        </is>
      </c>
      <c r="D86" t="inlineStr">
        <is>
          <t>KHUDAGANJ (NP)</t>
        </is>
      </c>
      <c r="E86" t="inlineStr">
        <is>
          <t>UP25JT8803</t>
        </is>
      </c>
      <c r="F86">
        <f>IF(E86="","",XLOOKUP(E86,'Master Data'!$E$5:$E$15,'Master Data'!$F$5:$F$15,""))</f>
        <v/>
      </c>
      <c r="G86" t="n">
        <v>13</v>
      </c>
      <c r="H86" s="9" t="n">
        <v>297</v>
      </c>
      <c r="I86" s="9">
        <f>IF(OR(G86="",H86=""),"",G86*H86)</f>
        <v/>
      </c>
      <c r="J86" s="9" t="n"/>
      <c r="K86" s="9" t="n"/>
      <c r="L86" s="9">
        <f>IF(I86="","",I86-IF(J86="",0,J86)-IF(K86="",0,K86))</f>
        <v/>
      </c>
      <c r="M86" s="9">
        <f>IF(E86="","",XLOOKUP(E86,'Master Data'!$E$5:$E$15,'Master Data'!$G$5:$G$15,0))</f>
        <v/>
      </c>
      <c r="N86" s="9">
        <f>IF(E86="","",XLOOKUP(E86,'Master Data'!$E$5:$E$15,'Master Data'!$H$5:$H$15,0))</f>
        <v/>
      </c>
      <c r="O86" s="9">
        <f>IF(L86="","",L86-M86-N86)</f>
        <v/>
      </c>
      <c r="P86" t="inlineStr">
        <is>
          <t>YES</t>
        </is>
      </c>
      <c r="Q86" t="inlineStr">
        <is>
          <t>4 EPOD</t>
        </is>
      </c>
      <c r="S86" s="9" t="n"/>
    </row>
    <row r="87">
      <c r="A87" t="n">
        <v>89</v>
      </c>
      <c r="B87" s="8" t="n">
        <v>46185.75431712963</v>
      </c>
      <c r="C87" t="inlineStr">
        <is>
          <t>PUNJAB TRADERS</t>
        </is>
      </c>
      <c r="D87" t="inlineStr">
        <is>
          <t>DEVCHARA</t>
        </is>
      </c>
      <c r="E87" t="inlineStr">
        <is>
          <t>UP25DT3530</t>
        </is>
      </c>
      <c r="F87">
        <f>IF(E87="","",XLOOKUP(E87,'Master Data'!$E$5:$E$15,'Master Data'!$F$5:$F$15,""))</f>
        <v/>
      </c>
      <c r="G87" t="n">
        <v>25</v>
      </c>
      <c r="H87" s="9" t="n">
        <v>323</v>
      </c>
      <c r="I87" s="9">
        <f>IF(OR(G87="",H87=""),"",G87*H87)</f>
        <v/>
      </c>
      <c r="J87" s="9" t="n"/>
      <c r="K87" s="9" t="n"/>
      <c r="L87" s="9">
        <f>IF(I87="","",I87-IF(J87="",0,J87)-IF(K87="",0,K87))</f>
        <v/>
      </c>
      <c r="M87" s="9">
        <f>IF(E87="","",XLOOKUP(E87,'Master Data'!$E$5:$E$15,'Master Data'!$G$5:$G$15,0))</f>
        <v/>
      </c>
      <c r="N87" s="9">
        <f>IF(E87="","",XLOOKUP(E87,'Master Data'!$E$5:$E$15,'Master Data'!$H$5:$H$15,0))</f>
        <v/>
      </c>
      <c r="O87" s="9">
        <f>IF(L87="","",L87-M87-N87)</f>
        <v/>
      </c>
      <c r="Q87" t="inlineStr">
        <is>
          <t>7 EPOD</t>
        </is>
      </c>
      <c r="S87" s="9" t="n"/>
    </row>
    <row r="88">
      <c r="A88" t="n">
        <v>90</v>
      </c>
      <c r="B88" s="8" t="n">
        <v>46185.87969907407</v>
      </c>
      <c r="C88" t="inlineStr">
        <is>
          <t>APNA KISHAN KENDRA</t>
        </is>
      </c>
      <c r="D88" t="inlineStr">
        <is>
          <t>ALIGANJ (KHERI)</t>
        </is>
      </c>
      <c r="E88" t="inlineStr">
        <is>
          <t>UP25BT7464</t>
        </is>
      </c>
      <c r="F88">
        <f>IF(E88="","",XLOOKUP(E88,'Master Data'!$E$5:$E$15,'Master Data'!$F$5:$F$15,""))</f>
        <v/>
      </c>
      <c r="G88" t="n">
        <v>15</v>
      </c>
      <c r="H88" s="9" t="n">
        <v>447</v>
      </c>
      <c r="I88" s="9">
        <f>IF(OR(G88="",H88=""),"",G88*H88)</f>
        <v/>
      </c>
      <c r="J88" s="9" t="n"/>
      <c r="K88" s="9" t="n"/>
      <c r="L88" s="9">
        <f>IF(I88="","",I88-IF(J88="",0,J88)-IF(K88="",0,K88))</f>
        <v/>
      </c>
      <c r="M88" s="9">
        <f>IF(E88="","",XLOOKUP(E88,'Master Data'!$E$5:$E$15,'Master Data'!$G$5:$G$15,0))</f>
        <v/>
      </c>
      <c r="N88" s="9">
        <f>IF(E88="","",XLOOKUP(E88,'Master Data'!$E$5:$E$15,'Master Data'!$H$5:$H$15,0))</f>
        <v/>
      </c>
      <c r="O88" s="9">
        <f>IF(L88="","",L88-M88-N88)</f>
        <v/>
      </c>
      <c r="Q88" t="inlineStr">
        <is>
          <t>7 EPOD</t>
        </is>
      </c>
      <c r="S88" s="9" t="n"/>
    </row>
    <row r="89">
      <c r="A89" t="n">
        <v>91</v>
      </c>
      <c r="B89" s="8" t="n">
        <v>46185.87938657407</v>
      </c>
      <c r="C89" t="inlineStr">
        <is>
          <t>APNA KISHAN KENDRA</t>
        </is>
      </c>
      <c r="D89" t="inlineStr">
        <is>
          <t>PADARIYATULA</t>
        </is>
      </c>
      <c r="E89" t="inlineStr">
        <is>
          <t>UP25BT7464</t>
        </is>
      </c>
      <c r="F89">
        <f>IF(E89="","",XLOOKUP(E89,'Master Data'!$E$5:$E$15,'Master Data'!$F$5:$F$15,""))</f>
        <v/>
      </c>
      <c r="G89" t="n">
        <v>15</v>
      </c>
      <c r="H89" s="9" t="n">
        <v>494</v>
      </c>
      <c r="I89" s="9">
        <f>IF(OR(G89="",H89=""),"",G89*H89)</f>
        <v/>
      </c>
      <c r="J89" s="9" t="n"/>
      <c r="K89" s="9" t="n"/>
      <c r="L89" s="9">
        <f>IF(I89="","",I89-IF(J89="",0,J89)-IF(K89="",0,K89))</f>
        <v/>
      </c>
      <c r="M89" s="9">
        <f>IF(E89="","",XLOOKUP(E89,'Master Data'!$E$5:$E$15,'Master Data'!$G$5:$G$15,0))</f>
        <v/>
      </c>
      <c r="N89" s="9">
        <f>IF(E89="","",XLOOKUP(E89,'Master Data'!$E$5:$E$15,'Master Data'!$H$5:$H$15,0))</f>
        <v/>
      </c>
      <c r="O89" s="9">
        <f>IF(L89="","",L89-M89-N89)</f>
        <v/>
      </c>
      <c r="Q89" t="inlineStr">
        <is>
          <t>7 EPOD</t>
        </is>
      </c>
      <c r="S89" s="9" t="n"/>
    </row>
    <row r="90">
      <c r="A90" t="n">
        <v>92</v>
      </c>
      <c r="B90" s="8" t="n">
        <v>46185.96270833333</v>
      </c>
      <c r="C90" t="inlineStr">
        <is>
          <t>CHANDRA BUILDING MATERIAL</t>
        </is>
      </c>
      <c r="D90" t="inlineStr">
        <is>
          <t>BAREILLY</t>
        </is>
      </c>
      <c r="E90" t="inlineStr">
        <is>
          <t>UP25AT6584</t>
        </is>
      </c>
      <c r="F90">
        <f>IF(E90="","",XLOOKUP(E90,'Master Data'!$E$5:$E$15,'Master Data'!$F$5:$F$15,""))</f>
        <v/>
      </c>
      <c r="G90" t="n">
        <v>10</v>
      </c>
      <c r="H90" s="9" t="n">
        <v>333</v>
      </c>
      <c r="I90" s="9">
        <f>IF(OR(G90="",H90=""),"",G90*H90)</f>
        <v/>
      </c>
      <c r="J90" s="9" t="n"/>
      <c r="K90" s="9" t="n"/>
      <c r="L90" s="9">
        <f>IF(I90="","",I90-IF(J90="",0,J90)-IF(K90="",0,K90))</f>
        <v/>
      </c>
      <c r="M90" s="9">
        <f>IF(E90="","",XLOOKUP(E90,'Master Data'!$E$5:$E$15,'Master Data'!$G$5:$G$15,0))</f>
        <v/>
      </c>
      <c r="N90" s="9">
        <f>IF(E90="","",XLOOKUP(E90,'Master Data'!$E$5:$E$15,'Master Data'!$H$5:$H$15,0))</f>
        <v/>
      </c>
      <c r="O90" s="9">
        <f>IF(L90="","",L90-M90-N90)</f>
        <v/>
      </c>
      <c r="Q90" t="inlineStr">
        <is>
          <t>7 EPOD</t>
        </is>
      </c>
      <c r="S90" s="9" t="n"/>
    </row>
    <row r="91">
      <c r="A91" t="n">
        <v>93</v>
      </c>
      <c r="B91" s="8" t="n">
        <v>46185.96299768519</v>
      </c>
      <c r="C91" t="inlineStr">
        <is>
          <t>CHANDRA BUILDING MATERIAL</t>
        </is>
      </c>
      <c r="D91" t="inlineStr">
        <is>
          <t>BAREILLY</t>
        </is>
      </c>
      <c r="E91" t="inlineStr">
        <is>
          <t>UP25AT6584</t>
        </is>
      </c>
      <c r="F91">
        <f>IF(E91="","",XLOOKUP(E91,'Master Data'!$E$5:$E$15,'Master Data'!$F$5:$F$15,""))</f>
        <v/>
      </c>
      <c r="G91" t="n">
        <v>10</v>
      </c>
      <c r="H91" s="9" t="n">
        <v>333</v>
      </c>
      <c r="I91" s="9">
        <f>IF(OR(G91="",H91=""),"",G91*H91)</f>
        <v/>
      </c>
      <c r="J91" s="9" t="n"/>
      <c r="K91" s="9" t="n"/>
      <c r="L91" s="9">
        <f>IF(I91="","",I91-IF(J91="",0,J91)-IF(K91="",0,K91))</f>
        <v/>
      </c>
      <c r="M91" s="9">
        <f>IF(E91="","",XLOOKUP(E91,'Master Data'!$E$5:$E$15,'Master Data'!$G$5:$G$15,0))</f>
        <v/>
      </c>
      <c r="N91" s="9">
        <f>IF(E91="","",XLOOKUP(E91,'Master Data'!$E$5:$E$15,'Master Data'!$H$5:$H$15,0))</f>
        <v/>
      </c>
      <c r="O91" s="9">
        <f>IF(L91="","",L91-M91-N91)</f>
        <v/>
      </c>
      <c r="Q91" t="inlineStr">
        <is>
          <t>7 EPOD</t>
        </is>
      </c>
      <c r="S91" s="9" t="n"/>
    </row>
    <row r="92">
      <c r="A92" t="n">
        <v>95</v>
      </c>
      <c r="B92" s="8" t="n">
        <v>46186.04599537037</v>
      </c>
      <c r="C92" t="inlineStr">
        <is>
          <t>DUA AGENCIES</t>
        </is>
      </c>
      <c r="D92" t="inlineStr">
        <is>
          <t>KHUTAR KHAS</t>
        </is>
      </c>
      <c r="E92" t="inlineStr">
        <is>
          <t>UP27T0919</t>
        </is>
      </c>
      <c r="F92">
        <f>IF(E92="","",XLOOKUP(E92,'Master Data'!$E$5:$E$15,'Master Data'!$F$5:$F$15,""))</f>
        <v/>
      </c>
      <c r="G92" t="n">
        <v>20</v>
      </c>
      <c r="H92" s="9" t="n">
        <v>439</v>
      </c>
      <c r="I92" s="9">
        <f>IF(OR(G92="",H92=""),"",G92*H92)</f>
        <v/>
      </c>
      <c r="J92" s="9" t="n"/>
      <c r="K92" s="9" t="n"/>
      <c r="L92" s="9">
        <f>IF(I92="","",I92-IF(J92="",0,J92)-IF(K92="",0,K92))</f>
        <v/>
      </c>
      <c r="M92" s="9">
        <f>IF(E92="","",XLOOKUP(E92,'Master Data'!$E$5:$E$15,'Master Data'!$G$5:$G$15,0))</f>
        <v/>
      </c>
      <c r="N92" s="9">
        <f>IF(E92="","",XLOOKUP(E92,'Master Data'!$E$5:$E$15,'Master Data'!$H$5:$H$15,0))</f>
        <v/>
      </c>
      <c r="O92" s="9">
        <f>IF(L92="","",L92-M92-N92)</f>
        <v/>
      </c>
      <c r="Q92" t="inlineStr">
        <is>
          <t>5</t>
        </is>
      </c>
      <c r="S92" s="9" t="n"/>
    </row>
    <row r="93">
      <c r="A93" t="n">
        <v>94</v>
      </c>
      <c r="B93" s="8" t="n">
        <v>46185.79604166667</v>
      </c>
      <c r="C93" t="inlineStr">
        <is>
          <t>ALOK TRADERS</t>
        </is>
      </c>
      <c r="D93" t="inlineStr">
        <is>
          <t>MIRZAPUR (BAREILY)</t>
        </is>
      </c>
      <c r="E93" t="inlineStr">
        <is>
          <t>UP25AT3048</t>
        </is>
      </c>
      <c r="F93">
        <f>IF(E93="","",XLOOKUP(E93,'Master Data'!$E$5:$E$15,'Master Data'!$F$5:$F$15,""))</f>
        <v/>
      </c>
      <c r="G93" t="n">
        <v>20</v>
      </c>
      <c r="H93" s="9" t="n">
        <v>419</v>
      </c>
      <c r="I93" s="9">
        <f>IF(OR(G93="",H93=""),"",G93*H93)</f>
        <v/>
      </c>
      <c r="J93" s="9" t="n"/>
      <c r="K93" s="9" t="n"/>
      <c r="L93" s="9">
        <f>IF(I93="","",I93-IF(J93="",0,J93)-IF(K93="",0,K93))</f>
        <v/>
      </c>
      <c r="M93" s="9">
        <f>IF(E93="","",XLOOKUP(E93,'Master Data'!$E$5:$E$15,'Master Data'!$G$5:$G$15,0))</f>
        <v/>
      </c>
      <c r="N93" s="9">
        <f>IF(E93="","",XLOOKUP(E93,'Master Data'!$E$5:$E$15,'Master Data'!$H$5:$H$15,0))</f>
        <v/>
      </c>
      <c r="O93" s="9">
        <f>IF(L93="","",L93-M93-N93)</f>
        <v/>
      </c>
      <c r="Q93" t="inlineStr">
        <is>
          <t>7 EPOD</t>
        </is>
      </c>
      <c r="S93" s="9" t="n"/>
    </row>
    <row r="94">
      <c r="A94" t="n">
        <v>97</v>
      </c>
      <c r="B94" s="8" t="n">
        <v>46186.42121527778</v>
      </c>
      <c r="C94" t="inlineStr">
        <is>
          <t>SHRADHA TRADERS</t>
        </is>
      </c>
      <c r="D94" t="inlineStr">
        <is>
          <t>BAGHAULI</t>
        </is>
      </c>
      <c r="E94" t="inlineStr">
        <is>
          <t>UP25CT7099</t>
        </is>
      </c>
      <c r="F94">
        <f>IF(E94="","",XLOOKUP(E94,'Master Data'!$E$5:$E$15,'Master Data'!$F$5:$F$15,""))</f>
        <v/>
      </c>
      <c r="G94" t="n">
        <v>10</v>
      </c>
      <c r="H94" s="9" t="n">
        <v>459</v>
      </c>
      <c r="I94" s="9">
        <f>IF(OR(G94="",H94=""),"",G94*H94)</f>
        <v/>
      </c>
      <c r="J94" s="9" t="n"/>
      <c r="K94" s="9" t="n"/>
      <c r="L94" s="9">
        <f>IF(I94="","",I94-IF(J94="",0,J94)-IF(K94="",0,K94))</f>
        <v/>
      </c>
      <c r="M94" s="9">
        <f>IF(E94="","",XLOOKUP(E94,'Master Data'!$E$5:$E$15,'Master Data'!$G$5:$G$15,0))</f>
        <v/>
      </c>
      <c r="N94" s="9">
        <f>IF(E94="","",XLOOKUP(E94,'Master Data'!$E$5:$E$15,'Master Data'!$H$5:$H$15,0))</f>
        <v/>
      </c>
      <c r="O94" s="9">
        <f>IF(L94="","",L94-M94-N94)</f>
        <v/>
      </c>
      <c r="Q94" t="inlineStr">
        <is>
          <t>5</t>
        </is>
      </c>
      <c r="S94" s="9" t="n"/>
    </row>
    <row r="95">
      <c r="A95" t="n">
        <v>98</v>
      </c>
      <c r="B95" s="8" t="n">
        <v>46186.42136574074</v>
      </c>
      <c r="C95" t="inlineStr">
        <is>
          <t>SHRADHA TRADERS</t>
        </is>
      </c>
      <c r="D95" t="inlineStr">
        <is>
          <t>BAGHAULI</t>
        </is>
      </c>
      <c r="E95" t="inlineStr">
        <is>
          <t>UP25CT7099</t>
        </is>
      </c>
      <c r="F95">
        <f>IF(E95="","",XLOOKUP(E95,'Master Data'!$E$5:$E$15,'Master Data'!$F$5:$F$15,""))</f>
        <v/>
      </c>
      <c r="G95" t="n">
        <v>10</v>
      </c>
      <c r="H95" s="9" t="n">
        <v>459</v>
      </c>
      <c r="I95" s="9">
        <f>IF(OR(G95="",H95=""),"",G95*H95)</f>
        <v/>
      </c>
      <c r="J95" s="9" t="n"/>
      <c r="K95" s="9" t="n"/>
      <c r="L95" s="9">
        <f>IF(I95="","",I95-IF(J95="",0,J95)-IF(K95="",0,K95))</f>
        <v/>
      </c>
      <c r="M95" s="9">
        <f>IF(E95="","",XLOOKUP(E95,'Master Data'!$E$5:$E$15,'Master Data'!$G$5:$G$15,0))</f>
        <v/>
      </c>
      <c r="N95" s="9">
        <f>IF(E95="","",XLOOKUP(E95,'Master Data'!$E$5:$E$15,'Master Data'!$H$5:$H$15,0))</f>
        <v/>
      </c>
      <c r="O95" s="9">
        <f>IF(L95="","",L95-M95-N95)</f>
        <v/>
      </c>
      <c r="Q95" t="inlineStr">
        <is>
          <t>5</t>
        </is>
      </c>
      <c r="S95" s="9" t="n"/>
    </row>
    <row r="96">
      <c r="A96" t="n">
        <v>99</v>
      </c>
      <c r="B96" s="8" t="n">
        <v>46186.42149305555</v>
      </c>
      <c r="C96" t="inlineStr">
        <is>
          <t>SHRADHA TRADERS</t>
        </is>
      </c>
      <c r="D96" t="inlineStr">
        <is>
          <t>BAGHAULI</t>
        </is>
      </c>
      <c r="E96" t="inlineStr">
        <is>
          <t>UP25CT7099</t>
        </is>
      </c>
      <c r="F96">
        <f>IF(E96="","",XLOOKUP(E96,'Master Data'!$E$5:$E$15,'Master Data'!$F$5:$F$15,""))</f>
        <v/>
      </c>
      <c r="G96" t="n">
        <v>10</v>
      </c>
      <c r="H96" s="9" t="n">
        <v>459</v>
      </c>
      <c r="I96" s="9">
        <f>IF(OR(G96="",H96=""),"",G96*H96)</f>
        <v/>
      </c>
      <c r="J96" s="9" t="n"/>
      <c r="K96" s="9" t="n"/>
      <c r="L96" s="9">
        <f>IF(I96="","",I96-IF(J96="",0,J96)-IF(K96="",0,K96))</f>
        <v/>
      </c>
      <c r="M96" s="9">
        <f>IF(E96="","",XLOOKUP(E96,'Master Data'!$E$5:$E$15,'Master Data'!$G$5:$G$15,0))</f>
        <v/>
      </c>
      <c r="N96" s="9">
        <f>IF(E96="","",XLOOKUP(E96,'Master Data'!$E$5:$E$15,'Master Data'!$H$5:$H$15,0))</f>
        <v/>
      </c>
      <c r="O96" s="9">
        <f>IF(L96="","",L96-M96-N96)</f>
        <v/>
      </c>
      <c r="Q96" t="inlineStr">
        <is>
          <t>5</t>
        </is>
      </c>
      <c r="S96" s="9" t="n"/>
    </row>
    <row r="97">
      <c r="A97" t="n">
        <v>96</v>
      </c>
      <c r="B97" s="8" t="n">
        <v>46186.04627314815</v>
      </c>
      <c r="C97" t="inlineStr">
        <is>
          <t>RAFI KHAN BUILDING MATERIAL</t>
        </is>
      </c>
      <c r="D97" t="inlineStr">
        <is>
          <t>SHAHBAD (HARDOI)</t>
        </is>
      </c>
      <c r="E97" t="inlineStr">
        <is>
          <t>UP25JT8804</t>
        </is>
      </c>
      <c r="F97">
        <f>IF(E97="","",XLOOKUP(E97,'Master Data'!$E$5:$E$15,'Master Data'!$F$5:$F$15,""))</f>
        <v/>
      </c>
      <c r="G97" t="n">
        <v>13</v>
      </c>
      <c r="H97" s="9" t="n">
        <v>449</v>
      </c>
      <c r="I97" s="9">
        <f>IF(OR(G97="",H97=""),"",G97*H97)</f>
        <v/>
      </c>
      <c r="J97" s="9" t="n"/>
      <c r="K97" s="9" t="n"/>
      <c r="L97" s="9">
        <f>IF(I97="","",I97-IF(J97="",0,J97)-IF(K97="",0,K97))</f>
        <v/>
      </c>
      <c r="M97" s="9">
        <f>IF(E97="","",XLOOKUP(E97,'Master Data'!$E$5:$E$15,'Master Data'!$G$5:$G$15,0))</f>
        <v/>
      </c>
      <c r="N97" s="9">
        <f>IF(E97="","",XLOOKUP(E97,'Master Data'!$E$5:$E$15,'Master Data'!$H$5:$H$15,0))</f>
        <v/>
      </c>
      <c r="O97" s="9">
        <f>IF(L97="","",L97-M97-N97)</f>
        <v/>
      </c>
      <c r="Q97" t="inlineStr">
        <is>
          <t>6</t>
        </is>
      </c>
      <c r="S97" s="9" t="n"/>
    </row>
    <row r="98">
      <c r="A98" t="n">
        <v>100</v>
      </c>
      <c r="B98" s="8" t="n">
        <v>46185.96269675926</v>
      </c>
      <c r="C98" t="inlineStr">
        <is>
          <t>ALOK TRADERS</t>
        </is>
      </c>
      <c r="D98" t="inlineStr">
        <is>
          <t>SHISHGARH</t>
        </is>
      </c>
      <c r="E98" t="inlineStr">
        <is>
          <t>UP25CT2572</t>
        </is>
      </c>
      <c r="F98">
        <f>IF(E98="","",XLOOKUP(E98,'Master Data'!$E$5:$E$15,'Master Data'!$F$5:$F$15,""))</f>
        <v/>
      </c>
      <c r="G98" t="n">
        <v>20</v>
      </c>
      <c r="H98" s="9" t="n">
        <v>497</v>
      </c>
      <c r="I98" s="9">
        <f>IF(OR(G98="",H98=""),"",G98*H98)</f>
        <v/>
      </c>
      <c r="J98" s="9" t="n"/>
      <c r="K98" s="9" t="n"/>
      <c r="L98" s="9">
        <f>IF(I98="","",I98-IF(J98="",0,J98)-IF(K98="",0,K98))</f>
        <v/>
      </c>
      <c r="M98" s="9">
        <f>IF(E98="","",XLOOKUP(E98,'Master Data'!$E$5:$E$15,'Master Data'!$G$5:$G$15,0))</f>
        <v/>
      </c>
      <c r="N98" s="9">
        <f>IF(E98="","",XLOOKUP(E98,'Master Data'!$E$5:$E$15,'Master Data'!$H$5:$H$15,0))</f>
        <v/>
      </c>
      <c r="O98" s="9">
        <f>IF(L98="","",L98-M98-N98)</f>
        <v/>
      </c>
      <c r="Q98" t="inlineStr">
        <is>
          <t>7 EPOD</t>
        </is>
      </c>
      <c r="S98" s="9" t="n"/>
    </row>
    <row r="99">
      <c r="A99" t="n">
        <v>101</v>
      </c>
      <c r="B99" s="8" t="n">
        <v>46185.96265046296</v>
      </c>
      <c r="C99" t="inlineStr">
        <is>
          <t>TAMEER TRADERS</t>
        </is>
      </c>
      <c r="D99" t="inlineStr">
        <is>
          <t>BALLIA (SHJPUR)</t>
        </is>
      </c>
      <c r="E99" t="inlineStr">
        <is>
          <t>UP25JT8802</t>
        </is>
      </c>
      <c r="F99">
        <f>IF(E99="","",XLOOKUP(E99,'Master Data'!$E$5:$E$15,'Master Data'!$F$5:$F$15,""))</f>
        <v/>
      </c>
      <c r="G99" t="n">
        <v>13</v>
      </c>
      <c r="H99" s="9" t="n">
        <v>418</v>
      </c>
      <c r="I99" s="9">
        <f>IF(OR(G99="",H99=""),"",G99*H99)</f>
        <v/>
      </c>
      <c r="J99" s="9" t="n"/>
      <c r="K99" s="9" t="n"/>
      <c r="L99" s="9">
        <f>IF(I99="","",I99-IF(J99="",0,J99)-IF(K99="",0,K99))</f>
        <v/>
      </c>
      <c r="M99" s="9">
        <f>IF(E99="","",XLOOKUP(E99,'Master Data'!$E$5:$E$15,'Master Data'!$G$5:$G$15,0))</f>
        <v/>
      </c>
      <c r="N99" s="9">
        <f>IF(E99="","",XLOOKUP(E99,'Master Data'!$E$5:$E$15,'Master Data'!$H$5:$H$15,0))</f>
        <v/>
      </c>
      <c r="O99" s="9">
        <f>IF(L99="","",L99-M99-N99)</f>
        <v/>
      </c>
      <c r="P99" t="inlineStr">
        <is>
          <t>YES</t>
        </is>
      </c>
      <c r="S99" s="9" t="n"/>
    </row>
    <row r="100">
      <c r="A100" t="n">
        <v>102</v>
      </c>
      <c r="B100" s="8" t="n">
        <v>46186.71297453704</v>
      </c>
      <c r="C100" t="inlineStr">
        <is>
          <t>BHARAT FERTILIZERS (SIS)</t>
        </is>
      </c>
      <c r="D100" t="inlineStr">
        <is>
          <t>KATRA</t>
        </is>
      </c>
      <c r="E100" t="inlineStr">
        <is>
          <t>UP25JT8803</t>
        </is>
      </c>
      <c r="F100">
        <f>IF(E100="","",XLOOKUP(E100,'Master Data'!$E$5:$E$15,'Master Data'!$F$5:$F$15,""))</f>
        <v/>
      </c>
      <c r="G100" t="n">
        <v>13</v>
      </c>
      <c r="H100" s="9" t="n">
        <v>223</v>
      </c>
      <c r="I100" s="9">
        <f>IF(OR(G100="",H100=""),"",G100*H100)</f>
        <v/>
      </c>
      <c r="J100" s="9" t="n"/>
      <c r="K100" s="9" t="n"/>
      <c r="L100" s="9">
        <f>IF(I100="","",I100-IF(J100="",0,J100)-IF(K100="",0,K100))</f>
        <v/>
      </c>
      <c r="M100" s="9">
        <f>IF(E100="","",XLOOKUP(E100,'Master Data'!$E$5:$E$15,'Master Data'!$G$5:$G$15,0))</f>
        <v/>
      </c>
      <c r="N100" s="9">
        <f>IF(E100="","",XLOOKUP(E100,'Master Data'!$E$5:$E$15,'Master Data'!$H$5:$H$15,0))</f>
        <v/>
      </c>
      <c r="O100" s="9">
        <f>IF(L100="","",L100-M100-N100)</f>
        <v/>
      </c>
      <c r="Q100" t="inlineStr">
        <is>
          <t>5</t>
        </is>
      </c>
      <c r="S100" s="9" t="n"/>
    </row>
    <row r="101">
      <c r="A101" t="n">
        <v>103</v>
      </c>
      <c r="B101" s="8" t="n">
        <v>46186.5878125</v>
      </c>
      <c r="C101" t="inlineStr">
        <is>
          <t>BHARAT FERTILIZERS (SIS)</t>
        </is>
      </c>
      <c r="D101" t="inlineStr">
        <is>
          <t>KATRA</t>
        </is>
      </c>
      <c r="E101" t="inlineStr">
        <is>
          <t>UP25JT8802</t>
        </is>
      </c>
      <c r="F101">
        <f>IF(E101="","",XLOOKUP(E101,'Master Data'!$E$5:$E$15,'Master Data'!$F$5:$F$15,""))</f>
        <v/>
      </c>
      <c r="G101" t="n">
        <v>13</v>
      </c>
      <c r="H101" s="9" t="n">
        <v>223</v>
      </c>
      <c r="I101" s="9">
        <f>IF(OR(G101="",H101=""),"",G101*H101)</f>
        <v/>
      </c>
      <c r="J101" s="9" t="n"/>
      <c r="K101" s="9" t="n"/>
      <c r="L101" s="9">
        <f>IF(I101="","",I101-IF(J101="",0,J101)-IF(K101="",0,K101))</f>
        <v/>
      </c>
      <c r="M101" s="9">
        <f>IF(E101="","",XLOOKUP(E101,'Master Data'!$E$5:$E$15,'Master Data'!$G$5:$G$15,0))</f>
        <v/>
      </c>
      <c r="N101" s="9">
        <f>IF(E101="","",XLOOKUP(E101,'Master Data'!$E$5:$E$15,'Master Data'!$H$5:$H$15,0))</f>
        <v/>
      </c>
      <c r="O101" s="9">
        <f>IF(L101="","",L101-M101-N101)</f>
        <v/>
      </c>
      <c r="Q101" t="inlineStr">
        <is>
          <t>5</t>
        </is>
      </c>
      <c r="S101" s="9" t="n"/>
    </row>
    <row r="102">
      <c r="A102" t="n">
        <v>104</v>
      </c>
      <c r="B102" s="8" t="n">
        <v>46186.71263888889</v>
      </c>
      <c r="C102" t="inlineStr">
        <is>
          <t>BHARAT FERTILIZERS (SIS)</t>
        </is>
      </c>
      <c r="D102" t="inlineStr">
        <is>
          <t>TILHAR</t>
        </is>
      </c>
      <c r="E102" t="inlineStr">
        <is>
          <t>UP22T5165</t>
        </is>
      </c>
      <c r="F102">
        <f>IF(E102="","",XLOOKUP(E102,'Master Data'!$E$5:$E$15,'Master Data'!$F$5:$F$15,""))</f>
        <v/>
      </c>
      <c r="G102" t="n">
        <v>20</v>
      </c>
      <c r="H102" s="9" t="n">
        <v>218</v>
      </c>
      <c r="I102" s="9">
        <f>IF(OR(G102="",H102=""),"",G102*H102)</f>
        <v/>
      </c>
      <c r="J102" s="9" t="n"/>
      <c r="K102" s="9" t="n"/>
      <c r="L102" s="9">
        <f>IF(I102="","",I102-IF(J102="",0,J102)-IF(K102="",0,K102))</f>
        <v/>
      </c>
      <c r="M102" s="9">
        <f>IF(E102="","",XLOOKUP(E102,'Master Data'!$E$5:$E$15,'Master Data'!$G$5:$G$15,0))</f>
        <v/>
      </c>
      <c r="N102" s="9">
        <f>IF(E102="","",XLOOKUP(E102,'Master Data'!$E$5:$E$15,'Master Data'!$H$5:$H$15,0))</f>
        <v/>
      </c>
      <c r="O102" s="9">
        <f>IF(L102="","",L102-M102-N102)</f>
        <v/>
      </c>
      <c r="P102" t="inlineStr">
        <is>
          <t>YES</t>
        </is>
      </c>
      <c r="Q102" t="inlineStr">
        <is>
          <t>8 EPOD</t>
        </is>
      </c>
      <c r="S102" s="9" t="n"/>
    </row>
    <row r="103">
      <c r="A103" t="n">
        <v>105</v>
      </c>
      <c r="B103" s="8" t="n">
        <v>46186.67107638889</v>
      </c>
      <c r="C103" t="inlineStr">
        <is>
          <t>AGARWAL CEMENT and IRON SUPLIERS</t>
        </is>
      </c>
      <c r="D103" t="inlineStr">
        <is>
          <t>BAREILLY</t>
        </is>
      </c>
      <c r="E103" t="inlineStr">
        <is>
          <t>UP25CT4514</t>
        </is>
      </c>
      <c r="F103">
        <f>IF(E103="","",XLOOKUP(E103,'Master Data'!$E$5:$E$15,'Master Data'!$F$5:$F$15,""))</f>
        <v/>
      </c>
      <c r="G103" t="n">
        <v>10</v>
      </c>
      <c r="H103" s="9" t="n">
        <v>333</v>
      </c>
      <c r="I103" s="9">
        <f>IF(OR(G103="",H103=""),"",G103*H103)</f>
        <v/>
      </c>
      <c r="J103" s="9" t="n"/>
      <c r="K103" s="9" t="n">
        <v>5000</v>
      </c>
      <c r="L103" s="9">
        <f>IF(I103="","",I103-IF(J103="",0,J103)-IF(K103="",0,K103))</f>
        <v/>
      </c>
      <c r="M103" s="9">
        <f>IF(E103="","",XLOOKUP(E103,'Master Data'!$E$5:$E$15,'Master Data'!$G$5:$G$15,0))</f>
        <v/>
      </c>
      <c r="N103" s="9">
        <f>IF(E103="","",XLOOKUP(E103,'Master Data'!$E$5:$E$15,'Master Data'!$H$5:$H$15,0))</f>
        <v/>
      </c>
      <c r="O103" s="9">
        <f>IF(L103="","",L103-M103-N103)</f>
        <v/>
      </c>
      <c r="Q103" t="inlineStr">
        <is>
          <t>5</t>
        </is>
      </c>
      <c r="S103" s="9" t="n"/>
    </row>
    <row r="104">
      <c r="A104" t="n">
        <v>106</v>
      </c>
      <c r="B104" s="8" t="n">
        <v>46186.67084490741</v>
      </c>
      <c r="C104" t="inlineStr">
        <is>
          <t>AGARWAL CEMENT and IRON SUPLIERS</t>
        </is>
      </c>
      <c r="D104" t="inlineStr">
        <is>
          <t>BAREILLY</t>
        </is>
      </c>
      <c r="E104" t="inlineStr">
        <is>
          <t>UP25CT4514</t>
        </is>
      </c>
      <c r="F104">
        <f>IF(E104="","",XLOOKUP(E104,'Master Data'!$E$5:$E$15,'Master Data'!$F$5:$F$15,""))</f>
        <v/>
      </c>
      <c r="G104" t="n">
        <v>10</v>
      </c>
      <c r="H104" s="9" t="n">
        <v>333</v>
      </c>
      <c r="I104" s="9">
        <f>IF(OR(G104="",H104=""),"",G104*H104)</f>
        <v/>
      </c>
      <c r="J104" s="9" t="n"/>
      <c r="K104" s="9" t="n"/>
      <c r="L104" s="9">
        <f>IF(I104="","",I104-IF(J104="",0,J104)-IF(K104="",0,K104))</f>
        <v/>
      </c>
      <c r="M104" s="9">
        <f>IF(E104="","",XLOOKUP(E104,'Master Data'!$E$5:$E$15,'Master Data'!$G$5:$G$15,0))</f>
        <v/>
      </c>
      <c r="N104" s="9">
        <f>IF(E104="","",XLOOKUP(E104,'Master Data'!$E$5:$E$15,'Master Data'!$H$5:$H$15,0))</f>
        <v/>
      </c>
      <c r="O104" s="9">
        <f>IF(L104="","",L104-M104-N104)</f>
        <v/>
      </c>
      <c r="Q104" t="inlineStr">
        <is>
          <t>5</t>
        </is>
      </c>
      <c r="S104" s="9" t="n"/>
    </row>
    <row r="105">
      <c r="A105" t="n">
        <v>107</v>
      </c>
      <c r="B105" s="8" t="n">
        <v>46186.75438657407</v>
      </c>
      <c r="C105" t="inlineStr">
        <is>
          <t>GARG CEMENT STORE</t>
        </is>
      </c>
      <c r="D105" t="inlineStr">
        <is>
          <t>HAFIJGANJ</t>
        </is>
      </c>
      <c r="E105" t="inlineStr">
        <is>
          <t>UP25BT2915</t>
        </is>
      </c>
      <c r="F105">
        <f>IF(E105="","",XLOOKUP(E105,'Master Data'!$E$5:$E$15,'Master Data'!$F$5:$F$15,""))</f>
        <v/>
      </c>
      <c r="G105" t="n">
        <v>25</v>
      </c>
      <c r="H105" s="9" t="n">
        <v>342</v>
      </c>
      <c r="I105" s="9">
        <f>IF(OR(G105="",H105=""),"",G105*H105)</f>
        <v/>
      </c>
      <c r="J105" s="9" t="n"/>
      <c r="K105" s="9" t="n"/>
      <c r="L105" s="9">
        <f>IF(I105="","",I105-IF(J105="",0,J105)-IF(K105="",0,K105))</f>
        <v/>
      </c>
      <c r="M105" s="9">
        <f>IF(E105="","",XLOOKUP(E105,'Master Data'!$E$5:$E$15,'Master Data'!$G$5:$G$15,0))</f>
        <v/>
      </c>
      <c r="N105" s="9">
        <f>IF(E105="","",XLOOKUP(E105,'Master Data'!$E$5:$E$15,'Master Data'!$H$5:$H$15,0))</f>
        <v/>
      </c>
      <c r="O105" s="9">
        <f>IF(L105="","",L105-M105-N105)</f>
        <v/>
      </c>
      <c r="Q105" t="inlineStr">
        <is>
          <t>9 EPOD</t>
        </is>
      </c>
      <c r="S105" s="9" t="n"/>
    </row>
    <row r="106">
      <c r="A106" t="n">
        <v>108</v>
      </c>
      <c r="B106" s="8" t="n">
        <v>46186.7542824074</v>
      </c>
      <c r="C106" t="inlineStr">
        <is>
          <t>S S TRADERS AND SUPPLIERS</t>
        </is>
      </c>
      <c r="D106" t="inlineStr">
        <is>
          <t>FATEHGANJ WEST</t>
        </is>
      </c>
      <c r="E106" t="inlineStr">
        <is>
          <t>UP26T1707</t>
        </is>
      </c>
      <c r="F106">
        <f>IF(E106="","",XLOOKUP(E106,'Master Data'!$E$5:$E$15,'Master Data'!$F$5:$F$15,""))</f>
        <v/>
      </c>
      <c r="G106" t="n">
        <v>25</v>
      </c>
      <c r="H106" s="9" t="n">
        <v>333</v>
      </c>
      <c r="I106" s="9">
        <f>IF(OR(G106="",H106=""),"",G106*H106)</f>
        <v/>
      </c>
      <c r="J106" s="9" t="n"/>
      <c r="K106" s="9" t="n"/>
      <c r="L106" s="9">
        <f>IF(I106="","",I106-IF(J106="",0,J106)-IF(K106="",0,K106))</f>
        <v/>
      </c>
      <c r="M106" s="9">
        <f>IF(E106="","",XLOOKUP(E106,'Master Data'!$E$5:$E$15,'Master Data'!$G$5:$G$15,0))</f>
        <v/>
      </c>
      <c r="N106" s="9">
        <f>IF(E106="","",XLOOKUP(E106,'Master Data'!$E$5:$E$15,'Master Data'!$H$5:$H$15,0))</f>
        <v/>
      </c>
      <c r="O106" s="9">
        <f>IF(L106="","",L106-M106-N106)</f>
        <v/>
      </c>
      <c r="Q106" t="inlineStr">
        <is>
          <t>9 EPOD</t>
        </is>
      </c>
      <c r="S106" s="9" t="n"/>
    </row>
    <row r="107">
      <c r="A107" t="n">
        <v>109</v>
      </c>
      <c r="B107" s="8" t="n">
        <v>46186.75466435185</v>
      </c>
      <c r="C107" t="inlineStr">
        <is>
          <t>ALOK TRADERS</t>
        </is>
      </c>
      <c r="D107" t="inlineStr">
        <is>
          <t>MEERGANJ</t>
        </is>
      </c>
      <c r="E107" t="inlineStr">
        <is>
          <t>UP25AT3048</t>
        </is>
      </c>
      <c r="F107">
        <f>IF(E107="","",XLOOKUP(E107,'Master Data'!$E$5:$E$15,'Master Data'!$F$5:$F$15,""))</f>
        <v/>
      </c>
      <c r="G107" t="n">
        <v>20</v>
      </c>
      <c r="H107" s="9" t="n">
        <v>506</v>
      </c>
      <c r="I107" s="9">
        <f>IF(OR(G107="",H107=""),"",G107*H107)</f>
        <v/>
      </c>
      <c r="J107" s="9" t="n"/>
      <c r="K107" s="9" t="n"/>
      <c r="L107" s="9">
        <f>IF(I107="","",I107-IF(J107="",0,J107)-IF(K107="",0,K107))</f>
        <v/>
      </c>
      <c r="M107" s="9">
        <f>IF(E107="","",XLOOKUP(E107,'Master Data'!$E$5:$E$15,'Master Data'!$G$5:$G$15,0))</f>
        <v/>
      </c>
      <c r="N107" s="9">
        <f>IF(E107="","",XLOOKUP(E107,'Master Data'!$E$5:$E$15,'Master Data'!$H$5:$H$15,0))</f>
        <v/>
      </c>
      <c r="O107" s="9">
        <f>IF(L107="","",L107-M107-N107)</f>
        <v/>
      </c>
      <c r="P107" t="inlineStr">
        <is>
          <t>YES</t>
        </is>
      </c>
      <c r="S107" s="9" t="n"/>
    </row>
    <row r="108">
      <c r="A108" t="n">
        <v>110</v>
      </c>
      <c r="B108" s="8" t="n">
        <v>46186.83800925926</v>
      </c>
      <c r="C108" t="inlineStr">
        <is>
          <t>GARG CEMENT STORE</t>
        </is>
      </c>
      <c r="D108" t="inlineStr">
        <is>
          <t>PARSA KHERA</t>
        </is>
      </c>
      <c r="E108" t="inlineStr">
        <is>
          <t>UP27T0919</t>
        </is>
      </c>
      <c r="F108">
        <f>IF(E108="","",XLOOKUP(E108,'Master Data'!$E$5:$E$15,'Master Data'!$F$5:$F$15,""))</f>
        <v/>
      </c>
      <c r="G108" t="n">
        <v>20</v>
      </c>
      <c r="H108" s="9" t="n">
        <v>365</v>
      </c>
      <c r="I108" s="9">
        <f>IF(OR(G108="",H108=""),"",G108*H108)</f>
        <v/>
      </c>
      <c r="J108" s="9" t="n"/>
      <c r="K108" s="9" t="n"/>
      <c r="L108" s="9">
        <f>IF(I108="","",I108-IF(J108="",0,J108)-IF(K108="",0,K108))</f>
        <v/>
      </c>
      <c r="M108" s="9">
        <f>IF(E108="","",XLOOKUP(E108,'Master Data'!$E$5:$E$15,'Master Data'!$G$5:$G$15,0))</f>
        <v/>
      </c>
      <c r="N108" s="9">
        <f>IF(E108="","",XLOOKUP(E108,'Master Data'!$E$5:$E$15,'Master Data'!$H$5:$H$15,0))</f>
        <v/>
      </c>
      <c r="O108" s="9">
        <f>IF(L108="","",L108-M108-N108)</f>
        <v/>
      </c>
      <c r="Q108" t="inlineStr">
        <is>
          <t>7 EPOD</t>
        </is>
      </c>
      <c r="S108" s="9" t="n"/>
    </row>
    <row r="109">
      <c r="A109" t="n">
        <v>111</v>
      </c>
      <c r="B109" s="8" t="n">
        <v>46186.79631944445</v>
      </c>
      <c r="C109" t="inlineStr">
        <is>
          <t>BHARAT FERTILIZERS (SIS)</t>
        </is>
      </c>
      <c r="D109" t="inlineStr">
        <is>
          <t>SHAHJHANPUR</t>
        </is>
      </c>
      <c r="E109" t="inlineStr">
        <is>
          <t>UP25AT8981</t>
        </is>
      </c>
      <c r="F109">
        <f>IF(E109="","",XLOOKUP(E109,'Master Data'!$E$5:$E$15,'Master Data'!$F$5:$F$15,""))</f>
        <v/>
      </c>
      <c r="G109" t="n">
        <v>13</v>
      </c>
      <c r="H109" s="9" t="n">
        <v>297</v>
      </c>
      <c r="I109" s="9">
        <f>IF(OR(G109="",H109=""),"",G109*H109)</f>
        <v/>
      </c>
      <c r="J109" s="9" t="n"/>
      <c r="K109" s="9" t="n"/>
      <c r="L109" s="9">
        <f>IF(I109="","",I109-IF(J109="",0,J109)-IF(K109="",0,K109))</f>
        <v/>
      </c>
      <c r="M109" s="9">
        <f>IF(E109="","",XLOOKUP(E109,'Master Data'!$E$5:$E$15,'Master Data'!$G$5:$G$15,0))</f>
        <v/>
      </c>
      <c r="N109" s="9">
        <f>IF(E109="","",XLOOKUP(E109,'Master Data'!$E$5:$E$15,'Master Data'!$H$5:$H$15,0))</f>
        <v/>
      </c>
      <c r="O109" s="9">
        <f>IF(L109="","",L109-M109-N109)</f>
        <v/>
      </c>
      <c r="P109" t="inlineStr">
        <is>
          <t>YES</t>
        </is>
      </c>
      <c r="S109" s="9" t="n"/>
    </row>
    <row r="110">
      <c r="A110" t="n">
        <v>112</v>
      </c>
      <c r="B110" s="8" t="n">
        <v>46186.79585648148</v>
      </c>
      <c r="C110" t="inlineStr">
        <is>
          <t>J T STEEL TRADERS</t>
        </is>
      </c>
      <c r="D110" t="inlineStr">
        <is>
          <t>SHAHJHANPUR</t>
        </is>
      </c>
      <c r="E110" t="inlineStr">
        <is>
          <t>UP25AT8981</t>
        </is>
      </c>
      <c r="F110">
        <f>IF(E110="","",XLOOKUP(E110,'Master Data'!$E$5:$E$15,'Master Data'!$F$5:$F$15,""))</f>
        <v/>
      </c>
      <c r="G110" t="n">
        <v>12</v>
      </c>
      <c r="H110" s="9" t="n">
        <v>297</v>
      </c>
      <c r="I110" s="9">
        <f>IF(OR(G110="",H110=""),"",G110*H110)</f>
        <v/>
      </c>
      <c r="J110" s="9" t="n"/>
      <c r="K110" s="9" t="n">
        <v>5000</v>
      </c>
      <c r="L110" s="9">
        <f>IF(I110="","",I110-IF(J110="",0,J110)-IF(K110="",0,K110))</f>
        <v/>
      </c>
      <c r="M110" s="9">
        <f>IF(E110="","",XLOOKUP(E110,'Master Data'!$E$5:$E$15,'Master Data'!$G$5:$G$15,0))</f>
        <v/>
      </c>
      <c r="N110" s="9">
        <f>IF(E110="","",XLOOKUP(E110,'Master Data'!$E$5:$E$15,'Master Data'!$H$5:$H$15,0))</f>
        <v/>
      </c>
      <c r="O110" s="9">
        <f>IF(L110="","",L110-M110-N110)</f>
        <v/>
      </c>
      <c r="P110" t="inlineStr">
        <is>
          <t>YES</t>
        </is>
      </c>
      <c r="S110" s="9" t="n"/>
    </row>
    <row r="111">
      <c r="A111" t="n">
        <v>113</v>
      </c>
      <c r="B111" s="8" t="n">
        <v>46186.79642361111</v>
      </c>
      <c r="C111" t="inlineStr">
        <is>
          <t>DURGA BUILDING MATERIAL*</t>
        </is>
      </c>
      <c r="D111" t="inlineStr">
        <is>
          <t>KANTH (NP)</t>
        </is>
      </c>
      <c r="E111" t="inlineStr">
        <is>
          <t>UP25JT8804</t>
        </is>
      </c>
      <c r="F111">
        <f>IF(E111="","",XLOOKUP(E111,'Master Data'!$E$5:$E$15,'Master Data'!$F$5:$F$15,""))</f>
        <v/>
      </c>
      <c r="G111" t="n">
        <v>13</v>
      </c>
      <c r="H111" s="9" t="n">
        <v>352</v>
      </c>
      <c r="I111" s="9">
        <f>IF(OR(G111="",H111=""),"",G111*H111)</f>
        <v/>
      </c>
      <c r="J111" s="9" t="n"/>
      <c r="K111" s="9" t="n"/>
      <c r="L111" s="9">
        <f>IF(I111="","",I111-IF(J111="",0,J111)-IF(K111="",0,K111))</f>
        <v/>
      </c>
      <c r="M111" s="9">
        <f>IF(E111="","",XLOOKUP(E111,'Master Data'!$E$5:$E$15,'Master Data'!$G$5:$G$15,0))</f>
        <v/>
      </c>
      <c r="N111" s="9">
        <f>IF(E111="","",XLOOKUP(E111,'Master Data'!$E$5:$E$15,'Master Data'!$H$5:$H$15,0))</f>
        <v/>
      </c>
      <c r="O111" s="9">
        <f>IF(L111="","",L111-M111-N111)</f>
        <v/>
      </c>
      <c r="Q111" t="inlineStr">
        <is>
          <t>7 EPOD</t>
        </is>
      </c>
      <c r="S111" s="9" t="n"/>
    </row>
    <row r="112">
      <c r="A112" t="n">
        <v>114</v>
      </c>
      <c r="B112" s="8" t="n">
        <v>46186.87949074074</v>
      </c>
      <c r="C112" t="inlineStr">
        <is>
          <t>JAI BHARAT AGRO AGENCY</t>
        </is>
      </c>
      <c r="D112" t="inlineStr">
        <is>
          <t>SHAHJHANPUR</t>
        </is>
      </c>
      <c r="E112" t="inlineStr">
        <is>
          <t>UP25JT8802</t>
        </is>
      </c>
      <c r="F112">
        <f>IF(E112="","",XLOOKUP(E112,'Master Data'!$E$5:$E$15,'Master Data'!$F$5:$F$15,""))</f>
        <v/>
      </c>
      <c r="G112" t="n">
        <v>13</v>
      </c>
      <c r="H112" s="9" t="n">
        <v>458</v>
      </c>
      <c r="I112" s="9">
        <f>IF(OR(G112="",H112=""),"",G112*H112)</f>
        <v/>
      </c>
      <c r="J112" s="9" t="n"/>
      <c r="K112" s="9" t="n"/>
      <c r="L112" s="9">
        <f>IF(I112="","",I112-IF(J112="",0,J112)-IF(K112="",0,K112))</f>
        <v/>
      </c>
      <c r="M112" s="9">
        <f>IF(E112="","",XLOOKUP(E112,'Master Data'!$E$5:$E$15,'Master Data'!$G$5:$G$15,0))</f>
        <v/>
      </c>
      <c r="N112" s="9">
        <f>IF(E112="","",XLOOKUP(E112,'Master Data'!$E$5:$E$15,'Master Data'!$H$5:$H$15,0))</f>
        <v/>
      </c>
      <c r="O112" s="9">
        <f>IF(L112="","",L112-M112-N112)</f>
        <v/>
      </c>
      <c r="Q112" t="inlineStr">
        <is>
          <t>5</t>
        </is>
      </c>
      <c r="S112" s="9" t="n"/>
    </row>
    <row r="113">
      <c r="A113" t="n">
        <v>117</v>
      </c>
      <c r="B113" s="8" t="n">
        <v>46187.62960648148</v>
      </c>
      <c r="C113" t="inlineStr">
        <is>
          <t>J T STEEL TRADERS</t>
        </is>
      </c>
      <c r="D113" t="inlineStr">
        <is>
          <t>Tikri</t>
        </is>
      </c>
      <c r="E113" t="inlineStr">
        <is>
          <t>UP25JT8803</t>
        </is>
      </c>
      <c r="F113">
        <f>IF(E113="","",XLOOKUP(E113,'Master Data'!$E$5:$E$15,'Master Data'!$F$5:$F$15,""))</f>
        <v/>
      </c>
      <c r="G113" t="n">
        <v>13</v>
      </c>
      <c r="H113" s="9" t="n">
        <v>385</v>
      </c>
      <c r="I113" s="9">
        <f>IF(OR(G113="",H113=""),"",G113*H113)</f>
        <v/>
      </c>
      <c r="J113" s="9" t="n"/>
      <c r="K113" s="9" t="n"/>
      <c r="L113" s="9">
        <f>IF(I113="","",I113-IF(J113="",0,J113)-IF(K113="",0,K113))</f>
        <v/>
      </c>
      <c r="M113" s="9">
        <f>IF(E113="","",XLOOKUP(E113,'Master Data'!$E$5:$E$15,'Master Data'!$G$5:$G$15,0))</f>
        <v/>
      </c>
      <c r="N113" s="9">
        <f>IF(E113="","",XLOOKUP(E113,'Master Data'!$E$5:$E$15,'Master Data'!$H$5:$H$15,0))</f>
        <v/>
      </c>
      <c r="O113" s="9">
        <f>IF(L113="","",L113-M113-N113)</f>
        <v/>
      </c>
      <c r="Q113" t="inlineStr">
        <is>
          <t>5</t>
        </is>
      </c>
      <c r="S113" s="9" t="n"/>
    </row>
    <row r="114">
      <c r="A114" t="n">
        <v>119</v>
      </c>
      <c r="B114" s="8" t="n">
        <v>46187.62922453704</v>
      </c>
      <c r="C114" t="inlineStr">
        <is>
          <t>AGARWAL TRADERS</t>
        </is>
      </c>
      <c r="D114" t="inlineStr">
        <is>
          <t>BHAGWANTAPUR</t>
        </is>
      </c>
      <c r="E114" t="inlineStr">
        <is>
          <t>UP27T0919</t>
        </is>
      </c>
      <c r="F114">
        <f>IF(E114="","",XLOOKUP(E114,'Master Data'!$E$5:$E$15,'Master Data'!$F$5:$F$15,""))</f>
        <v/>
      </c>
      <c r="G114" t="n">
        <v>20</v>
      </c>
      <c r="H114" s="9" t="n">
        <v>266</v>
      </c>
      <c r="I114" s="9">
        <f>IF(OR(G114="",H114=""),"",G114*H114)</f>
        <v/>
      </c>
      <c r="J114" s="9" t="n"/>
      <c r="K114" s="9" t="n"/>
      <c r="L114" s="9">
        <f>IF(I114="","",I114-IF(J114="",0,J114)-IF(K114="",0,K114))</f>
        <v/>
      </c>
      <c r="M114" s="9">
        <f>IF(E114="","",XLOOKUP(E114,'Master Data'!$E$5:$E$15,'Master Data'!$G$5:$G$15,0))</f>
        <v/>
      </c>
      <c r="N114" s="9">
        <f>IF(E114="","",XLOOKUP(E114,'Master Data'!$E$5:$E$15,'Master Data'!$H$5:$H$15,0))</f>
        <v/>
      </c>
      <c r="O114" s="9">
        <f>IF(L114="","",L114-M114-N114)</f>
        <v/>
      </c>
      <c r="Q114" t="inlineStr">
        <is>
          <t>5</t>
        </is>
      </c>
      <c r="S114" s="9" t="n"/>
    </row>
    <row r="115">
      <c r="A115" t="n">
        <v>118</v>
      </c>
      <c r="B115" s="8" t="n">
        <v>46187.62931712963</v>
      </c>
      <c r="C115" t="inlineStr">
        <is>
          <t>GAFFAR CEMENT STORE</t>
        </is>
      </c>
      <c r="D115" t="inlineStr">
        <is>
          <t>TANDIYAWAN</t>
        </is>
      </c>
      <c r="E115" t="inlineStr">
        <is>
          <t>UP25AT6584</t>
        </is>
      </c>
      <c r="F115">
        <f>IF(E115="","",XLOOKUP(E115,'Master Data'!$E$5:$E$15,'Master Data'!$F$5:$F$15,""))</f>
        <v/>
      </c>
      <c r="G115" t="n">
        <v>20</v>
      </c>
      <c r="H115" s="9" t="n">
        <v>524</v>
      </c>
      <c r="I115" s="9">
        <f>IF(OR(G115="",H115=""),"",G115*H115)</f>
        <v/>
      </c>
      <c r="J115" s="9" t="n"/>
      <c r="K115" s="9" t="n"/>
      <c r="L115" s="9">
        <f>IF(I115="","",I115-IF(J115="",0,J115)-IF(K115="",0,K115))</f>
        <v/>
      </c>
      <c r="M115" s="9">
        <f>IF(E115="","",XLOOKUP(E115,'Master Data'!$E$5:$E$15,'Master Data'!$G$5:$G$15,0))</f>
        <v/>
      </c>
      <c r="N115" s="9">
        <f>IF(E115="","",XLOOKUP(E115,'Master Data'!$E$5:$E$15,'Master Data'!$H$5:$H$15,0))</f>
        <v/>
      </c>
      <c r="O115" s="9">
        <f>IF(L115="","",L115-M115-N115)</f>
        <v/>
      </c>
      <c r="Q115" t="inlineStr">
        <is>
          <t>7 EPOD</t>
        </is>
      </c>
      <c r="S115" s="9" t="n"/>
    </row>
    <row r="116">
      <c r="A116" t="n">
        <v>120</v>
      </c>
      <c r="B116" s="8" t="n">
        <v>46187.6292824074</v>
      </c>
      <c r="C116" t="inlineStr">
        <is>
          <t>MITTAL FERTILIZERS</t>
        </is>
      </c>
      <c r="D116" t="inlineStr">
        <is>
          <t>PACHAUNI</t>
        </is>
      </c>
      <c r="E116" t="inlineStr">
        <is>
          <t>UP25CT4514</t>
        </is>
      </c>
      <c r="F116">
        <f>IF(E116="","",XLOOKUP(E116,'Master Data'!$E$5:$E$15,'Master Data'!$F$5:$F$15,""))</f>
        <v/>
      </c>
      <c r="G116" t="n">
        <v>25</v>
      </c>
      <c r="H116" s="9" t="n">
        <v>214</v>
      </c>
      <c r="I116" s="9">
        <f>IF(OR(G116="",H116=""),"",G116*H116)</f>
        <v/>
      </c>
      <c r="J116" s="9" t="n"/>
      <c r="K116" s="9" t="n"/>
      <c r="L116" s="9">
        <f>IF(I116="","",I116-IF(J116="",0,J116)-IF(K116="",0,K116))</f>
        <v/>
      </c>
      <c r="M116" s="9">
        <f>IF(E116="","",XLOOKUP(E116,'Master Data'!$E$5:$E$15,'Master Data'!$G$5:$G$15,0))</f>
        <v/>
      </c>
      <c r="N116" s="9">
        <f>IF(E116="","",XLOOKUP(E116,'Master Data'!$E$5:$E$15,'Master Data'!$H$5:$H$15,0))</f>
        <v/>
      </c>
      <c r="O116" s="9">
        <f>IF(L116="","",L116-M116-N116)</f>
        <v/>
      </c>
      <c r="Q116" t="inlineStr">
        <is>
          <t>5</t>
        </is>
      </c>
      <c r="S116" s="9" t="n"/>
    </row>
    <row r="117">
      <c r="A117" t="n">
        <v>123</v>
      </c>
      <c r="B117" s="8" t="n">
        <v>46187.67092592592</v>
      </c>
      <c r="C117" t="inlineStr">
        <is>
          <t>DEEP BUILDERS</t>
        </is>
      </c>
      <c r="D117" t="inlineStr">
        <is>
          <t>KICHHA</t>
        </is>
      </c>
      <c r="E117" t="inlineStr">
        <is>
          <t>UP25DT1881</t>
        </is>
      </c>
      <c r="F117">
        <f>IF(E117="","",XLOOKUP(E117,'Master Data'!$E$5:$E$15,'Master Data'!$F$5:$F$15,""))</f>
        <v/>
      </c>
      <c r="G117" t="n">
        <v>35</v>
      </c>
      <c r="H117" s="9" t="n">
        <v>401</v>
      </c>
      <c r="I117" s="9">
        <f>IF(OR(G117="",H117=""),"",G117*H117)</f>
        <v/>
      </c>
      <c r="J117" s="9" t="n"/>
      <c r="K117" s="9" t="n"/>
      <c r="L117" s="9">
        <f>IF(I117="","",I117-IF(J117="",0,J117)-IF(K117="",0,K117))</f>
        <v/>
      </c>
      <c r="M117" s="9">
        <f>IF(E117="","",XLOOKUP(E117,'Master Data'!$E$5:$E$15,'Master Data'!$G$5:$G$15,0))</f>
        <v/>
      </c>
      <c r="N117" s="9">
        <f>IF(E117="","",XLOOKUP(E117,'Master Data'!$E$5:$E$15,'Master Data'!$H$5:$H$15,0))</f>
        <v/>
      </c>
      <c r="O117" s="9">
        <f>IF(L117="","",L117-M117-N117)</f>
        <v/>
      </c>
      <c r="S117" s="9" t="n"/>
    </row>
    <row r="118">
      <c r="A118" t="n">
        <v>122</v>
      </c>
      <c r="B118" s="8" t="n">
        <v>46187.67103009259</v>
      </c>
      <c r="C118" t="inlineStr">
        <is>
          <t>JAI BHARAT ENTERPRISES (SIS)</t>
        </is>
      </c>
      <c r="D118" t="inlineStr">
        <is>
          <t>SHAHJHANPUR</t>
        </is>
      </c>
      <c r="E118" t="inlineStr">
        <is>
          <t>UP25JT8804</t>
        </is>
      </c>
      <c r="F118">
        <f>IF(E118="","",XLOOKUP(E118,'Master Data'!$E$5:$E$15,'Master Data'!$F$5:$F$15,""))</f>
        <v/>
      </c>
      <c r="G118" t="n">
        <v>13</v>
      </c>
      <c r="H118" s="9" t="n">
        <v>465</v>
      </c>
      <c r="I118" s="9">
        <f>IF(OR(G118="",H118=""),"",G118*H118)</f>
        <v/>
      </c>
      <c r="J118" s="9" t="n"/>
      <c r="K118" s="9" t="n"/>
      <c r="L118" s="9">
        <f>IF(I118="","",I118-IF(J118="",0,J118)-IF(K118="",0,K118))</f>
        <v/>
      </c>
      <c r="M118" s="9">
        <f>IF(E118="","",XLOOKUP(E118,'Master Data'!$E$5:$E$15,'Master Data'!$G$5:$G$15,0))</f>
        <v/>
      </c>
      <c r="N118" s="9">
        <f>IF(E118="","",XLOOKUP(E118,'Master Data'!$E$5:$E$15,'Master Data'!$H$5:$H$15,0))</f>
        <v/>
      </c>
      <c r="O118" s="9">
        <f>IF(L118="","",L118-M118-N118)</f>
        <v/>
      </c>
      <c r="Q118" t="inlineStr">
        <is>
          <t>5</t>
        </is>
      </c>
      <c r="S118" s="9" t="n"/>
    </row>
    <row r="119">
      <c r="A119" t="n">
        <v>121</v>
      </c>
      <c r="B119" s="8" t="n">
        <v>46187.6296875</v>
      </c>
      <c r="C119" t="inlineStr">
        <is>
          <t>PRABHU KRIPA TRADERS</t>
        </is>
      </c>
      <c r="D119" t="inlineStr">
        <is>
          <t>SAHORA</t>
        </is>
      </c>
      <c r="E119" t="inlineStr">
        <is>
          <t>UP25AT3048</t>
        </is>
      </c>
      <c r="F119">
        <f>IF(E119="","",XLOOKUP(E119,'Master Data'!$E$5:$E$15,'Master Data'!$F$5:$F$15,""))</f>
        <v/>
      </c>
      <c r="G119" t="n">
        <v>18</v>
      </c>
      <c r="H119" s="9" t="n">
        <v>496</v>
      </c>
      <c r="I119" s="9">
        <f>IF(OR(G119="",H119=""),"",G119*H119)</f>
        <v/>
      </c>
      <c r="J119" s="9" t="n"/>
      <c r="K119" s="9" t="n"/>
      <c r="L119" s="9">
        <f>IF(I119="","",I119-IF(J119="",0,J119)-IF(K119="",0,K119))</f>
        <v/>
      </c>
      <c r="M119" s="9">
        <f>IF(E119="","",XLOOKUP(E119,'Master Data'!$E$5:$E$15,'Master Data'!$G$5:$G$15,0))</f>
        <v/>
      </c>
      <c r="N119" s="9">
        <f>IF(E119="","",XLOOKUP(E119,'Master Data'!$E$5:$E$15,'Master Data'!$H$5:$H$15,0))</f>
        <v/>
      </c>
      <c r="O119" s="9">
        <f>IF(L119="","",L119-M119-N119)</f>
        <v/>
      </c>
      <c r="P119" t="inlineStr">
        <is>
          <t>YES</t>
        </is>
      </c>
      <c r="S119" s="9" t="n"/>
    </row>
    <row r="120">
      <c r="A120" t="n">
        <v>125</v>
      </c>
      <c r="B120" s="8" t="n">
        <v>46187.79601851852</v>
      </c>
      <c r="C120" t="inlineStr">
        <is>
          <t>JAI BHARAT ENTERPRISES (SIS)</t>
        </is>
      </c>
      <c r="D120" t="inlineStr">
        <is>
          <t>MOHAMMADI</t>
        </is>
      </c>
      <c r="E120" t="inlineStr">
        <is>
          <t>UP25BT2915</t>
        </is>
      </c>
      <c r="F120">
        <f>IF(E120="","",XLOOKUP(E120,'Master Data'!$E$5:$E$15,'Master Data'!$F$5:$F$15,""))</f>
        <v/>
      </c>
      <c r="G120" t="n">
        <v>12</v>
      </c>
      <c r="H120" s="9" t="n">
        <v>328</v>
      </c>
      <c r="I120" s="9">
        <f>IF(OR(G120="",H120=""),"",G120*H120)</f>
        <v/>
      </c>
      <c r="J120" s="9" t="n"/>
      <c r="K120" s="9" t="n"/>
      <c r="L120" s="9">
        <f>IF(I120="","",I120-IF(J120="",0,J120)-IF(K120="",0,K120))</f>
        <v/>
      </c>
      <c r="M120" s="9">
        <f>IF(E120="","",XLOOKUP(E120,'Master Data'!$E$5:$E$15,'Master Data'!$G$5:$G$15,0))</f>
        <v/>
      </c>
      <c r="N120" s="9">
        <f>IF(E120="","",XLOOKUP(E120,'Master Data'!$E$5:$E$15,'Master Data'!$H$5:$H$15,0))</f>
        <v/>
      </c>
      <c r="O120" s="9">
        <f>IF(L120="","",L120-M120-N120)</f>
        <v/>
      </c>
      <c r="Q120" t="inlineStr">
        <is>
          <t>3</t>
        </is>
      </c>
      <c r="S120" s="9" t="n"/>
    </row>
    <row r="121">
      <c r="A121" t="n">
        <v>124</v>
      </c>
      <c r="B121" s="8" t="n">
        <v>46187.79644675926</v>
      </c>
      <c r="C121" t="inlineStr">
        <is>
          <t>JAI BHARAT ENTERPRISES (SIS)</t>
        </is>
      </c>
      <c r="D121" t="inlineStr">
        <is>
          <t>MOHAMMADI</t>
        </is>
      </c>
      <c r="E121" t="inlineStr">
        <is>
          <t>UP25BT2915</t>
        </is>
      </c>
      <c r="F121">
        <f>IF(E121="","",XLOOKUP(E121,'Master Data'!$E$5:$E$15,'Master Data'!$F$5:$F$15,""))</f>
        <v/>
      </c>
      <c r="G121" t="n">
        <v>13</v>
      </c>
      <c r="H121" s="9" t="n">
        <v>328</v>
      </c>
      <c r="I121" s="9">
        <f>IF(OR(G121="",H121=""),"",G121*H121)</f>
        <v/>
      </c>
      <c r="J121" s="9" t="n"/>
      <c r="K121" s="9" t="n"/>
      <c r="L121" s="9">
        <f>IF(I121="","",I121-IF(J121="",0,J121)-IF(K121="",0,K121))</f>
        <v/>
      </c>
      <c r="M121" s="9">
        <f>IF(E121="","",XLOOKUP(E121,'Master Data'!$E$5:$E$15,'Master Data'!$G$5:$G$15,0))</f>
        <v/>
      </c>
      <c r="N121" s="9">
        <f>IF(E121="","",XLOOKUP(E121,'Master Data'!$E$5:$E$15,'Master Data'!$H$5:$H$15,0))</f>
        <v/>
      </c>
      <c r="O121" s="9">
        <f>IF(L121="","",L121-M121-N121)</f>
        <v/>
      </c>
      <c r="Q121" t="inlineStr">
        <is>
          <t>3</t>
        </is>
      </c>
      <c r="S121" s="9" t="n"/>
    </row>
    <row r="122">
      <c r="A122" t="n">
        <v>127</v>
      </c>
      <c r="B122" s="8" t="n">
        <v>46187.87920138889</v>
      </c>
      <c r="C122" t="inlineStr">
        <is>
          <t>DUA AGENCIES</t>
        </is>
      </c>
      <c r="D122" t="inlineStr">
        <is>
          <t>ROZA</t>
        </is>
      </c>
      <c r="E122" t="inlineStr">
        <is>
          <t>UP25JT8802</t>
        </is>
      </c>
      <c r="F122">
        <f>IF(E122="","",XLOOKUP(E122,'Master Data'!$E$5:$E$15,'Master Data'!$F$5:$F$15,""))</f>
        <v/>
      </c>
      <c r="G122" t="n">
        <v>13</v>
      </c>
      <c r="H122" s="9" t="n">
        <v>396</v>
      </c>
      <c r="I122" s="9">
        <f>IF(OR(G122="",H122=""),"",G122*H122)</f>
        <v/>
      </c>
      <c r="J122" s="9" t="n"/>
      <c r="K122" s="9" t="n"/>
      <c r="L122" s="9">
        <f>IF(I122="","",I122-IF(J122="",0,J122)-IF(K122="",0,K122))</f>
        <v/>
      </c>
      <c r="M122" s="9">
        <f>IF(E122="","",XLOOKUP(E122,'Master Data'!$E$5:$E$15,'Master Data'!$G$5:$G$15,0))</f>
        <v/>
      </c>
      <c r="N122" s="9">
        <f>IF(E122="","",XLOOKUP(E122,'Master Data'!$E$5:$E$15,'Master Data'!$H$5:$H$15,0))</f>
        <v/>
      </c>
      <c r="O122" s="9">
        <f>IF(L122="","",L122-M122-N122)</f>
        <v/>
      </c>
      <c r="Q122" t="inlineStr">
        <is>
          <t>5</t>
        </is>
      </c>
      <c r="S122" s="9" t="n"/>
    </row>
    <row r="123">
      <c r="A123" t="n">
        <v>126</v>
      </c>
      <c r="B123" s="8" t="n">
        <v>46187.79640046296</v>
      </c>
      <c r="C123" t="inlineStr">
        <is>
          <t>ALOK TRADERS</t>
        </is>
      </c>
      <c r="D123" t="inlineStr">
        <is>
          <t>BAREILLY</t>
        </is>
      </c>
      <c r="E123" t="inlineStr">
        <is>
          <t>UP25AT8981</t>
        </is>
      </c>
      <c r="F123">
        <f>IF(E123="","",XLOOKUP(E123,'Master Data'!$E$5:$E$15,'Master Data'!$F$5:$F$15,""))</f>
        <v/>
      </c>
      <c r="G123" t="n">
        <v>25</v>
      </c>
      <c r="H123" s="9" t="n">
        <v>304</v>
      </c>
      <c r="I123" s="9">
        <f>IF(OR(G123="",H123=""),"",G123*H123)</f>
        <v/>
      </c>
      <c r="J123" s="9" t="n"/>
      <c r="K123" s="9" t="n">
        <v>6000</v>
      </c>
      <c r="L123" s="9">
        <f>IF(I123="","",I123-IF(J123="",0,J123)-IF(K123="",0,K123))</f>
        <v/>
      </c>
      <c r="M123" s="9">
        <f>IF(E123="","",XLOOKUP(E123,'Master Data'!$E$5:$E$15,'Master Data'!$G$5:$G$15,0))</f>
        <v/>
      </c>
      <c r="N123" s="9">
        <f>IF(E123="","",XLOOKUP(E123,'Master Data'!$E$5:$E$15,'Master Data'!$H$5:$H$15,0))</f>
        <v/>
      </c>
      <c r="O123" s="9">
        <f>IF(L123="","",L123-M123-N123)</f>
        <v/>
      </c>
      <c r="P123" t="inlineStr">
        <is>
          <t>YES</t>
        </is>
      </c>
      <c r="Q123" t="inlineStr">
        <is>
          <t>7 EPOD</t>
        </is>
      </c>
      <c r="S123" s="9" t="n"/>
    </row>
    <row r="124">
      <c r="A124" t="n">
        <v>128</v>
      </c>
      <c r="B124" s="8" t="n">
        <v>46187.87950231481</v>
      </c>
      <c r="C124" t="inlineStr">
        <is>
          <t>VIJAY TRADERS</t>
        </is>
      </c>
      <c r="D124" t="inlineStr">
        <is>
          <t>NAWADIA JHADA</t>
        </is>
      </c>
      <c r="E124" t="inlineStr">
        <is>
          <t>UP22T5165</t>
        </is>
      </c>
      <c r="F124">
        <f>IF(E124="","",XLOOKUP(E124,'Master Data'!$E$5:$E$15,'Master Data'!$F$5:$F$15,""))</f>
        <v/>
      </c>
      <c r="G124" t="n">
        <v>25</v>
      </c>
      <c r="H124" s="9" t="n">
        <v>256</v>
      </c>
      <c r="I124" s="9">
        <f>IF(OR(G124="",H124=""),"",G124*H124)</f>
        <v/>
      </c>
      <c r="J124" s="9" t="n"/>
      <c r="K124" s="9" t="n"/>
      <c r="L124" s="9">
        <f>IF(I124="","",I124-IF(J124="",0,J124)-IF(K124="",0,K124))</f>
        <v/>
      </c>
      <c r="M124" s="9">
        <f>IF(E124="","",XLOOKUP(E124,'Master Data'!$E$5:$E$15,'Master Data'!$G$5:$G$15,0))</f>
        <v/>
      </c>
      <c r="N124" s="9">
        <f>IF(E124="","",XLOOKUP(E124,'Master Data'!$E$5:$E$15,'Master Data'!$H$5:$H$15,0))</f>
        <v/>
      </c>
      <c r="O124" s="9">
        <f>IF(L124="","",L124-M124-N124)</f>
        <v/>
      </c>
      <c r="Q124" t="inlineStr">
        <is>
          <t>7 EPOD</t>
        </is>
      </c>
      <c r="S124" s="9" t="n"/>
    </row>
    <row r="125">
      <c r="A125" t="n">
        <v>130</v>
      </c>
      <c r="B125" s="8" t="n">
        <v>46187.87969907407</v>
      </c>
      <c r="C125" t="inlineStr">
        <is>
          <t>AGARWAL TRADERS</t>
        </is>
      </c>
      <c r="D125" t="inlineStr">
        <is>
          <t>FAREEDPUR</t>
        </is>
      </c>
      <c r="E125" t="inlineStr">
        <is>
          <t>UP26T1707</t>
        </is>
      </c>
      <c r="F125">
        <f>IF(E125="","",XLOOKUP(E125,'Master Data'!$E$5:$E$15,'Master Data'!$F$5:$F$15,""))</f>
        <v/>
      </c>
      <c r="G125" t="n">
        <v>15</v>
      </c>
      <c r="H125" s="9" t="n">
        <v>206</v>
      </c>
      <c r="I125" s="9">
        <f>IF(OR(G125="",H125=""),"",G125*H125)</f>
        <v/>
      </c>
      <c r="J125" s="9" t="n"/>
      <c r="K125" s="9" t="n"/>
      <c r="L125" s="9">
        <f>IF(I125="","",I125-IF(J125="",0,J125)-IF(K125="",0,K125))</f>
        <v/>
      </c>
      <c r="M125" s="9">
        <f>IF(E125="","",XLOOKUP(E125,'Master Data'!$E$5:$E$15,'Master Data'!$G$5:$G$15,0))</f>
        <v/>
      </c>
      <c r="N125" s="9">
        <f>IF(E125="","",XLOOKUP(E125,'Master Data'!$E$5:$E$15,'Master Data'!$H$5:$H$15,0))</f>
        <v/>
      </c>
      <c r="O125" s="9">
        <f>IF(L125="","",L125-M125-N125)</f>
        <v/>
      </c>
      <c r="S125" s="9" t="n"/>
    </row>
    <row r="126">
      <c r="A126" t="n">
        <v>129</v>
      </c>
      <c r="B126" s="8" t="n">
        <v>46187.87920138889</v>
      </c>
      <c r="C126" t="inlineStr">
        <is>
          <t>AGARWAL TRADERS</t>
        </is>
      </c>
      <c r="D126" t="inlineStr">
        <is>
          <t>FAREEDPUR</t>
        </is>
      </c>
      <c r="E126" t="inlineStr">
        <is>
          <t>UP26T1707</t>
        </is>
      </c>
      <c r="F126">
        <f>IF(E126="","",XLOOKUP(E126,'Master Data'!$E$5:$E$15,'Master Data'!$F$5:$F$15,""))</f>
        <v/>
      </c>
      <c r="G126" t="n">
        <v>10</v>
      </c>
      <c r="H126" s="9" t="n">
        <v>206</v>
      </c>
      <c r="I126" s="9">
        <f>IF(OR(G126="",H126=""),"",G126*H126)</f>
        <v/>
      </c>
      <c r="J126" s="9" t="n"/>
      <c r="K126" s="9" t="n"/>
      <c r="L126" s="9">
        <f>IF(I126="","",I126-IF(J126="",0,J126)-IF(K126="",0,K126))</f>
        <v/>
      </c>
      <c r="M126" s="9">
        <f>IF(E126="","",XLOOKUP(E126,'Master Data'!$E$5:$E$15,'Master Data'!$G$5:$G$15,0))</f>
        <v/>
      </c>
      <c r="N126" s="9">
        <f>IF(E126="","",XLOOKUP(E126,'Master Data'!$E$5:$E$15,'Master Data'!$H$5:$H$15,0))</f>
        <v/>
      </c>
      <c r="O126" s="9">
        <f>IF(L126="","",L126-M126-N126)</f>
        <v/>
      </c>
      <c r="Q126" t="inlineStr">
        <is>
          <t>3</t>
        </is>
      </c>
      <c r="S126" s="9" t="n"/>
    </row>
    <row r="127">
      <c r="A127" t="n">
        <v>132</v>
      </c>
      <c r="B127" s="8" t="n">
        <v>46188.71314814815</v>
      </c>
      <c r="C127" t="inlineStr">
        <is>
          <t>SHYAM NARAIN RAMESH KUMAR AND  SONS</t>
        </is>
      </c>
      <c r="D127" t="inlineStr">
        <is>
          <t>BHOJIPURA</t>
        </is>
      </c>
      <c r="E127" t="inlineStr">
        <is>
          <t>UP25CT4514</t>
        </is>
      </c>
      <c r="F127">
        <f>IF(E127="","",XLOOKUP(E127,'Master Data'!$E$5:$E$15,'Master Data'!$F$5:$F$15,""))</f>
        <v/>
      </c>
      <c r="G127" t="n">
        <v>25</v>
      </c>
      <c r="H127" s="9" t="n">
        <v>321</v>
      </c>
      <c r="I127" s="9">
        <f>IF(OR(G127="",H127=""),"",G127*H127)</f>
        <v/>
      </c>
      <c r="J127" s="9" t="n"/>
      <c r="K127" s="9" t="n">
        <v>10000</v>
      </c>
      <c r="L127" s="9">
        <f>IF(I127="","",I127-IF(J127="",0,J127)-IF(K127="",0,K127))</f>
        <v/>
      </c>
      <c r="M127" s="9">
        <f>IF(E127="","",XLOOKUP(E127,'Master Data'!$E$5:$E$15,'Master Data'!$G$5:$G$15,0))</f>
        <v/>
      </c>
      <c r="N127" s="9">
        <f>IF(E127="","",XLOOKUP(E127,'Master Data'!$E$5:$E$15,'Master Data'!$H$5:$H$15,0))</f>
        <v/>
      </c>
      <c r="O127" s="9">
        <f>IF(L127="","",L127-M127-N127)</f>
        <v/>
      </c>
      <c r="Q127" t="inlineStr">
        <is>
          <t>6</t>
        </is>
      </c>
      <c r="S127" s="9" t="n"/>
    </row>
    <row r="128">
      <c r="A128" t="n">
        <v>135</v>
      </c>
      <c r="B128" s="8" t="n">
        <v>46188.83818287037</v>
      </c>
      <c r="C128" t="inlineStr">
        <is>
          <t>APNA KISHAN KENDRA</t>
        </is>
      </c>
      <c r="D128" t="inlineStr">
        <is>
          <t>PHOOLBEHAD</t>
        </is>
      </c>
      <c r="E128" t="inlineStr">
        <is>
          <t>UP25CT2572</t>
        </is>
      </c>
      <c r="F128">
        <f>IF(E128="","",XLOOKUP(E128,'Master Data'!$E$5:$E$15,'Master Data'!$F$5:$F$15,""))</f>
        <v/>
      </c>
      <c r="G128" t="n">
        <v>25</v>
      </c>
      <c r="H128" s="9" t="n">
        <v>531</v>
      </c>
      <c r="I128" s="9">
        <f>IF(OR(G128="",H128=""),"",G128*H128)</f>
        <v/>
      </c>
      <c r="J128" s="9" t="n"/>
      <c r="K128" s="9" t="n"/>
      <c r="L128" s="9">
        <f>IF(I128="","",I128-IF(J128="",0,J128)-IF(K128="",0,K128))</f>
        <v/>
      </c>
      <c r="M128" s="9">
        <f>IF(E128="","",XLOOKUP(E128,'Master Data'!$E$5:$E$15,'Master Data'!$G$5:$G$15,0))</f>
        <v/>
      </c>
      <c r="N128" s="9">
        <f>IF(E128="","",XLOOKUP(E128,'Master Data'!$E$5:$E$15,'Master Data'!$H$5:$H$15,0))</f>
        <v/>
      </c>
      <c r="O128" s="9">
        <f>IF(L128="","",L128-M128-N128)</f>
        <v/>
      </c>
      <c r="Q128" t="inlineStr">
        <is>
          <t>6</t>
        </is>
      </c>
      <c r="S128" s="9" t="n"/>
    </row>
    <row r="129">
      <c r="A129" t="n">
        <v>134</v>
      </c>
      <c r="B129" s="8" t="n">
        <v>46188.71275462963</v>
      </c>
      <c r="C129" t="inlineStr">
        <is>
          <t>SRI RAM IRON and CEMENT MERCHANT</t>
        </is>
      </c>
      <c r="D129" t="inlineStr">
        <is>
          <t>NAWABGANJ</t>
        </is>
      </c>
      <c r="E129" t="inlineStr">
        <is>
          <t>UP27T0919</t>
        </is>
      </c>
      <c r="F129">
        <f>IF(E129="","",XLOOKUP(E129,'Master Data'!$E$5:$E$15,'Master Data'!$F$5:$F$15,""))</f>
        <v/>
      </c>
      <c r="G129" t="n">
        <v>5</v>
      </c>
      <c r="H129" s="9" t="n">
        <v>400</v>
      </c>
      <c r="I129" s="9">
        <f>IF(OR(G129="",H129=""),"",G129*H129)</f>
        <v/>
      </c>
      <c r="J129" s="9" t="n"/>
      <c r="K129" s="9" t="n"/>
      <c r="L129" s="9">
        <f>IF(I129="","",I129-IF(J129="",0,J129)-IF(K129="",0,K129))</f>
        <v/>
      </c>
      <c r="M129" s="9">
        <f>IF(E129="","",XLOOKUP(E129,'Master Data'!$E$5:$E$15,'Master Data'!$G$5:$G$15,0))</f>
        <v/>
      </c>
      <c r="N129" s="9">
        <f>IF(E129="","",XLOOKUP(E129,'Master Data'!$E$5:$E$15,'Master Data'!$H$5:$H$15,0))</f>
        <v/>
      </c>
      <c r="O129" s="9">
        <f>IF(L129="","",L129-M129-N129)</f>
        <v/>
      </c>
      <c r="Q129" t="inlineStr">
        <is>
          <t>6</t>
        </is>
      </c>
      <c r="S129" s="9" t="n"/>
    </row>
    <row r="130">
      <c r="A130" t="n">
        <v>133</v>
      </c>
      <c r="B130" s="8" t="n">
        <v>46188.7130787037</v>
      </c>
      <c r="C130" t="inlineStr">
        <is>
          <t>SRI RAM IRON and CEMENT MERCHANT</t>
        </is>
      </c>
      <c r="D130" t="inlineStr">
        <is>
          <t>NAWABGANJ</t>
        </is>
      </c>
      <c r="E130" t="inlineStr">
        <is>
          <t>UP27T0919</t>
        </is>
      </c>
      <c r="F130">
        <f>IF(E130="","",XLOOKUP(E130,'Master Data'!$E$5:$E$15,'Master Data'!$F$5:$F$15,""))</f>
        <v/>
      </c>
      <c r="G130" t="n">
        <v>15</v>
      </c>
      <c r="H130" s="9" t="n">
        <v>400</v>
      </c>
      <c r="I130" s="9">
        <f>IF(OR(G130="",H130=""),"",G130*H130)</f>
        <v/>
      </c>
      <c r="J130" s="9" t="n"/>
      <c r="K130" s="9" t="n"/>
      <c r="L130" s="9">
        <f>IF(I130="","",I130-IF(J130="",0,J130)-IF(K130="",0,K130))</f>
        <v/>
      </c>
      <c r="M130" s="9">
        <f>IF(E130="","",XLOOKUP(E130,'Master Data'!$E$5:$E$15,'Master Data'!$G$5:$G$15,0))</f>
        <v/>
      </c>
      <c r="N130" s="9">
        <f>IF(E130="","",XLOOKUP(E130,'Master Data'!$E$5:$E$15,'Master Data'!$H$5:$H$15,0))</f>
        <v/>
      </c>
      <c r="O130" s="9">
        <f>IF(L130="","",L130-M130-N130)</f>
        <v/>
      </c>
      <c r="Q130" t="inlineStr">
        <is>
          <t>6</t>
        </is>
      </c>
      <c r="S130" s="9" t="n"/>
    </row>
    <row r="131">
      <c r="A131" t="n">
        <v>136</v>
      </c>
      <c r="B131" s="8" t="n">
        <v>46188.7545949074</v>
      </c>
      <c r="C131" t="inlineStr">
        <is>
          <t>APNA KISHAN KENDRA</t>
        </is>
      </c>
      <c r="D131" t="inlineStr">
        <is>
          <t>LAKHIMPUR</t>
        </is>
      </c>
      <c r="E131" t="inlineStr">
        <is>
          <t>UP26T1707</t>
        </is>
      </c>
      <c r="F131">
        <f>IF(E131="","",XLOOKUP(E131,'Master Data'!$E$5:$E$15,'Master Data'!$F$5:$F$15,""))</f>
        <v/>
      </c>
      <c r="G131" t="n">
        <v>25</v>
      </c>
      <c r="H131" s="9" t="n">
        <v>490</v>
      </c>
      <c r="I131" s="9">
        <f>IF(OR(G131="",H131=""),"",G131*H131)</f>
        <v/>
      </c>
      <c r="J131" s="9" t="n"/>
      <c r="K131" s="9" t="n"/>
      <c r="L131" s="9">
        <f>IF(I131="","",I131-IF(J131="",0,J131)-IF(K131="",0,K131))</f>
        <v/>
      </c>
      <c r="M131" s="9">
        <f>IF(E131="","",XLOOKUP(E131,'Master Data'!$E$5:$E$15,'Master Data'!$G$5:$G$15,0))</f>
        <v/>
      </c>
      <c r="N131" s="9">
        <f>IF(E131="","",XLOOKUP(E131,'Master Data'!$E$5:$E$15,'Master Data'!$H$5:$H$15,0))</f>
        <v/>
      </c>
      <c r="O131" s="9">
        <f>IF(L131="","",L131-M131-N131)</f>
        <v/>
      </c>
      <c r="Q131" t="inlineStr">
        <is>
          <t>9 EPOD</t>
        </is>
      </c>
      <c r="S131" s="9" t="n"/>
    </row>
    <row r="132">
      <c r="A132" t="n">
        <v>141</v>
      </c>
      <c r="B132" s="8" t="n">
        <v>46188.92116898148</v>
      </c>
      <c r="C132" t="inlineStr">
        <is>
          <t>DURGA BUILDING MATERIAL*</t>
        </is>
      </c>
      <c r="D132" t="inlineStr">
        <is>
          <t>KANTH (NP)</t>
        </is>
      </c>
      <c r="E132" t="inlineStr">
        <is>
          <t>UP25JT8802</t>
        </is>
      </c>
      <c r="F132">
        <f>IF(E132="","",XLOOKUP(E132,'Master Data'!$E$5:$E$15,'Master Data'!$F$5:$F$15,""))</f>
        <v/>
      </c>
      <c r="G132" t="n">
        <v>13</v>
      </c>
      <c r="H132" s="9" t="n">
        <v>388</v>
      </c>
      <c r="I132" s="9">
        <f>IF(OR(G132="",H132=""),"",G132*H132)</f>
        <v/>
      </c>
      <c r="J132" s="9" t="n"/>
      <c r="K132" s="9" t="n"/>
      <c r="L132" s="9">
        <f>IF(I132="","",I132-IF(J132="",0,J132)-IF(K132="",0,K132))</f>
        <v/>
      </c>
      <c r="M132" s="9">
        <f>IF(E132="","",XLOOKUP(E132,'Master Data'!$E$5:$E$15,'Master Data'!$G$5:$G$15,0))</f>
        <v/>
      </c>
      <c r="N132" s="9">
        <f>IF(E132="","",XLOOKUP(E132,'Master Data'!$E$5:$E$15,'Master Data'!$H$5:$H$15,0))</f>
        <v/>
      </c>
      <c r="O132" s="9">
        <f>IF(L132="","",L132-M132-N132)</f>
        <v/>
      </c>
      <c r="Q132" t="inlineStr">
        <is>
          <t>6</t>
        </is>
      </c>
      <c r="S132" s="9" t="n"/>
    </row>
    <row r="133">
      <c r="A133" t="n">
        <v>140</v>
      </c>
      <c r="B133" s="8" t="n">
        <v>46189.00476851852</v>
      </c>
      <c r="C133" t="inlineStr">
        <is>
          <t>ADARSH ENTERPRISES</t>
        </is>
      </c>
      <c r="D133" t="inlineStr">
        <is>
          <t>POWAYAN</t>
        </is>
      </c>
      <c r="E133" t="inlineStr">
        <is>
          <t>UP25JT8803</t>
        </is>
      </c>
      <c r="F133">
        <f>IF(E133="","",XLOOKUP(E133,'Master Data'!$E$5:$E$15,'Master Data'!$F$5:$F$15,""))</f>
        <v/>
      </c>
      <c r="G133" t="n">
        <v>13</v>
      </c>
      <c r="H133" s="9" t="n">
        <v>454</v>
      </c>
      <c r="I133" s="9">
        <f>IF(OR(G133="",H133=""),"",G133*H133)</f>
        <v/>
      </c>
      <c r="J133" s="9" t="n"/>
      <c r="K133" s="9" t="n"/>
      <c r="L133" s="9">
        <f>IF(I133="","",I133-IF(J133="",0,J133)-IF(K133="",0,K133))</f>
        <v/>
      </c>
      <c r="M133" s="9">
        <f>IF(E133="","",XLOOKUP(E133,'Master Data'!$E$5:$E$15,'Master Data'!$G$5:$G$15,0))</f>
        <v/>
      </c>
      <c r="N133" s="9">
        <f>IF(E133="","",XLOOKUP(E133,'Master Data'!$E$5:$E$15,'Master Data'!$H$5:$H$15,0))</f>
        <v/>
      </c>
      <c r="O133" s="9">
        <f>IF(L133="","",L133-M133-N133)</f>
        <v/>
      </c>
      <c r="Q133" t="inlineStr">
        <is>
          <t>7 EPOD</t>
        </is>
      </c>
      <c r="S133" s="9" t="n"/>
    </row>
    <row r="134">
      <c r="A134" t="n">
        <v>137</v>
      </c>
      <c r="B134" s="8" t="n">
        <v>46188.75417824074</v>
      </c>
      <c r="C134" t="inlineStr">
        <is>
          <t>AGARWAL TRADERS</t>
        </is>
      </c>
      <c r="D134" t="inlineStr">
        <is>
          <t>FAREEDPUR</t>
        </is>
      </c>
      <c r="E134" t="inlineStr">
        <is>
          <t>UP25AT3048</t>
        </is>
      </c>
      <c r="F134">
        <f>IF(E134="","",XLOOKUP(E134,'Master Data'!$E$5:$E$15,'Master Data'!$F$5:$F$15,""))</f>
        <v/>
      </c>
      <c r="G134" t="n">
        <v>20</v>
      </c>
      <c r="H134" s="9" t="n">
        <v>239</v>
      </c>
      <c r="I134" s="9">
        <f>IF(OR(G134="",H134=""),"",G134*H134)</f>
        <v/>
      </c>
      <c r="J134" s="9" t="n"/>
      <c r="K134" s="9" t="n"/>
      <c r="L134" s="9">
        <f>IF(I134="","",I134-IF(J134="",0,J134)-IF(K134="",0,K134))</f>
        <v/>
      </c>
      <c r="M134" s="9">
        <f>IF(E134="","",XLOOKUP(E134,'Master Data'!$E$5:$E$15,'Master Data'!$G$5:$G$15,0))</f>
        <v/>
      </c>
      <c r="N134" s="9">
        <f>IF(E134="","",XLOOKUP(E134,'Master Data'!$E$5:$E$15,'Master Data'!$H$5:$H$15,0))</f>
        <v/>
      </c>
      <c r="O134" s="9">
        <f>IF(L134="","",L134-M134-N134)</f>
        <v/>
      </c>
      <c r="Q134" t="inlineStr">
        <is>
          <t>6</t>
        </is>
      </c>
      <c r="S134" s="9" t="n"/>
    </row>
    <row r="135">
      <c r="A135" t="n">
        <v>142</v>
      </c>
      <c r="B135" s="8" t="n">
        <v>46188.96313657407</v>
      </c>
      <c r="C135" t="inlineStr">
        <is>
          <t>NAVEEN LOHA BHANDAR</t>
        </is>
      </c>
      <c r="D135" t="inlineStr">
        <is>
          <t>TUMURKHI</t>
        </is>
      </c>
      <c r="E135" t="inlineStr">
        <is>
          <t>UP25JT8804</t>
        </is>
      </c>
      <c r="F135">
        <f>IF(E135="","",XLOOKUP(E135,'Master Data'!$E$5:$E$15,'Master Data'!$F$5:$F$15,""))</f>
        <v/>
      </c>
      <c r="G135" t="n">
        <v>13</v>
      </c>
      <c r="H135" s="9" t="n">
        <v>489</v>
      </c>
      <c r="I135" s="9">
        <f>IF(OR(G135="",H135=""),"",G135*H135)</f>
        <v/>
      </c>
      <c r="J135" s="9" t="n"/>
      <c r="K135" s="9" t="n"/>
      <c r="L135" s="9">
        <f>IF(I135="","",I135-IF(J135="",0,J135)-IF(K135="",0,K135))</f>
        <v/>
      </c>
      <c r="M135" s="9">
        <f>IF(E135="","",XLOOKUP(E135,'Master Data'!$E$5:$E$15,'Master Data'!$G$5:$G$15,0))</f>
        <v/>
      </c>
      <c r="N135" s="9">
        <f>IF(E135="","",XLOOKUP(E135,'Master Data'!$E$5:$E$15,'Master Data'!$H$5:$H$15,0))</f>
        <v/>
      </c>
      <c r="O135" s="9">
        <f>IF(L135="","",L135-M135-N135)</f>
        <v/>
      </c>
      <c r="Q135" t="inlineStr">
        <is>
          <t>7 EPOD</t>
        </is>
      </c>
      <c r="S135" s="9" t="n"/>
    </row>
    <row r="136">
      <c r="A136" t="n">
        <v>139</v>
      </c>
      <c r="B136" s="8" t="n">
        <v>46188.96258101852</v>
      </c>
      <c r="C136" t="inlineStr">
        <is>
          <t>APNA KISHAN KENDRA</t>
        </is>
      </c>
      <c r="D136" t="inlineStr">
        <is>
          <t>LAKHIMPUR</t>
        </is>
      </c>
      <c r="E136" t="inlineStr">
        <is>
          <t>UP25AT8981</t>
        </is>
      </c>
      <c r="F136">
        <f>IF(E136="","",XLOOKUP(E136,'Master Data'!$E$5:$E$15,'Master Data'!$F$5:$F$15,""))</f>
        <v/>
      </c>
      <c r="G136" t="n">
        <v>10</v>
      </c>
      <c r="H136" s="9" t="n">
        <v>524</v>
      </c>
      <c r="I136" s="9">
        <f>IF(OR(G136="",H136=""),"",G136*H136)</f>
        <v/>
      </c>
      <c r="J136" s="9" t="n"/>
      <c r="K136" s="9" t="n">
        <v>9500</v>
      </c>
      <c r="L136" s="9">
        <f>IF(I136="","",I136-IF(J136="",0,J136)-IF(K136="",0,K136))</f>
        <v/>
      </c>
      <c r="M136" s="9">
        <f>IF(E136="","",XLOOKUP(E136,'Master Data'!$E$5:$E$15,'Master Data'!$G$5:$G$15,0))</f>
        <v/>
      </c>
      <c r="N136" s="9">
        <f>IF(E136="","",XLOOKUP(E136,'Master Data'!$E$5:$E$15,'Master Data'!$H$5:$H$15,0))</f>
        <v/>
      </c>
      <c r="O136" s="9">
        <f>IF(L136="","",L136-M136-N136)</f>
        <v/>
      </c>
      <c r="P136" t="inlineStr">
        <is>
          <t>YES</t>
        </is>
      </c>
      <c r="S136" s="9" t="n"/>
    </row>
    <row r="137">
      <c r="A137" t="n">
        <v>138</v>
      </c>
      <c r="B137" s="8" t="n">
        <v>46188.96296296296</v>
      </c>
      <c r="C137" t="inlineStr">
        <is>
          <t>APNA KISHAN KENDRA</t>
        </is>
      </c>
      <c r="D137" t="inlineStr">
        <is>
          <t>LAKHIMPUR</t>
        </is>
      </c>
      <c r="E137" t="inlineStr">
        <is>
          <t>UP25AT8981</t>
        </is>
      </c>
      <c r="F137">
        <f>IF(E137="","",XLOOKUP(E137,'Master Data'!$E$5:$E$15,'Master Data'!$F$5:$F$15,""))</f>
        <v/>
      </c>
      <c r="G137" t="n">
        <v>15</v>
      </c>
      <c r="H137" s="9" t="n">
        <v>524</v>
      </c>
      <c r="I137" s="9">
        <f>IF(OR(G137="",H137=""),"",G137*H137)</f>
        <v/>
      </c>
      <c r="J137" s="9" t="n"/>
      <c r="K137" s="9" t="n"/>
      <c r="L137" s="9">
        <f>IF(I137="","",I137-IF(J137="",0,J137)-IF(K137="",0,K137))</f>
        <v/>
      </c>
      <c r="M137" s="9">
        <f>IF(E137="","",XLOOKUP(E137,'Master Data'!$E$5:$E$15,'Master Data'!$G$5:$G$15,0))</f>
        <v/>
      </c>
      <c r="N137" s="9">
        <f>IF(E137="","",XLOOKUP(E137,'Master Data'!$E$5:$E$15,'Master Data'!$H$5:$H$15,0))</f>
        <v/>
      </c>
      <c r="O137" s="9">
        <f>IF(L137="","",L137-M137-N137)</f>
        <v/>
      </c>
      <c r="P137" t="inlineStr">
        <is>
          <t>YES</t>
        </is>
      </c>
      <c r="S137" s="9" t="n"/>
    </row>
    <row r="138">
      <c r="A138" t="n">
        <v>144</v>
      </c>
      <c r="B138" s="8" t="n">
        <v>46189.04633101852</v>
      </c>
      <c r="C138" t="inlineStr">
        <is>
          <t>GUPTA AND COMPANY</t>
        </is>
      </c>
      <c r="D138" t="inlineStr">
        <is>
          <t>MILAK</t>
        </is>
      </c>
      <c r="E138" t="inlineStr">
        <is>
          <t>UP25CT3782</t>
        </is>
      </c>
      <c r="F138">
        <f>IF(E138="","",XLOOKUP(E138,'Master Data'!$E$5:$E$15,'Master Data'!$F$5:$F$15,""))</f>
        <v/>
      </c>
      <c r="G138" t="n">
        <v>25</v>
      </c>
      <c r="H138" s="9" t="n">
        <v>431</v>
      </c>
      <c r="I138" s="9">
        <f>IF(OR(G138="",H138=""),"",G138*H138)</f>
        <v/>
      </c>
      <c r="J138" s="9" t="n"/>
      <c r="K138" s="9" t="n"/>
      <c r="L138" s="9">
        <f>IF(I138="","",I138-IF(J138="",0,J138)-IF(K138="",0,K138))</f>
        <v/>
      </c>
      <c r="M138" s="9">
        <f>IF(E138="","",XLOOKUP(E138,'Master Data'!$E$5:$E$15,'Master Data'!$G$5:$G$15,0))</f>
        <v/>
      </c>
      <c r="N138" s="9">
        <f>IF(E138="","",XLOOKUP(E138,'Master Data'!$E$5:$E$15,'Master Data'!$H$5:$H$15,0))</f>
        <v/>
      </c>
      <c r="O138" s="9">
        <f>IF(L138="","",L138-M138-N138)</f>
        <v/>
      </c>
      <c r="Q138" t="inlineStr">
        <is>
          <t>9 EPOD</t>
        </is>
      </c>
      <c r="S138" s="9" t="n"/>
    </row>
    <row r="139">
      <c r="A139" t="n">
        <v>145</v>
      </c>
      <c r="B139" s="8" t="n">
        <v>46189.00443287037</v>
      </c>
      <c r="C139" t="inlineStr">
        <is>
          <t>BAJPAI KHAD BHANDAR</t>
        </is>
      </c>
      <c r="D139" t="inlineStr">
        <is>
          <t>SIKANDARABAD</t>
        </is>
      </c>
      <c r="E139" t="inlineStr">
        <is>
          <t>UP25BT2915</t>
        </is>
      </c>
      <c r="F139">
        <f>IF(E139="","",XLOOKUP(E139,'Master Data'!$E$5:$E$15,'Master Data'!$F$5:$F$15,""))</f>
        <v/>
      </c>
      <c r="G139" t="n">
        <v>25</v>
      </c>
      <c r="H139" s="9" t="n">
        <v>441</v>
      </c>
      <c r="I139" s="9">
        <f>IF(OR(G139="",H139=""),"",G139*H139)</f>
        <v/>
      </c>
      <c r="J139" s="9" t="n"/>
      <c r="K139" s="9" t="n"/>
      <c r="L139" s="9">
        <f>IF(I139="","",I139-IF(J139="",0,J139)-IF(K139="",0,K139))</f>
        <v/>
      </c>
      <c r="M139" s="9">
        <f>IF(E139="","",XLOOKUP(E139,'Master Data'!$E$5:$E$15,'Master Data'!$G$5:$G$15,0))</f>
        <v/>
      </c>
      <c r="N139" s="9">
        <f>IF(E139="","",XLOOKUP(E139,'Master Data'!$E$5:$E$15,'Master Data'!$H$5:$H$15,0))</f>
        <v/>
      </c>
      <c r="O139" s="9">
        <f>IF(L139="","",L139-M139-N139)</f>
        <v/>
      </c>
      <c r="Q139" t="inlineStr">
        <is>
          <t>9 EPOD</t>
        </is>
      </c>
      <c r="S139" s="9" t="n"/>
    </row>
    <row r="140">
      <c r="A140" t="n">
        <v>148</v>
      </c>
      <c r="B140" s="8" t="n">
        <v>46189.67134259259</v>
      </c>
      <c r="C140" t="inlineStr">
        <is>
          <t>JAI BHARAT ENTERPRISES (SIS)</t>
        </is>
      </c>
      <c r="D140" t="inlineStr">
        <is>
          <t>KANTH (NP)</t>
        </is>
      </c>
      <c r="E140" t="inlineStr">
        <is>
          <t>UP25JT8802</t>
        </is>
      </c>
      <c r="F140">
        <f>IF(E140="","",XLOOKUP(E140,'Master Data'!$E$5:$E$15,'Master Data'!$F$5:$F$15,""))</f>
        <v/>
      </c>
      <c r="G140" t="n">
        <v>13</v>
      </c>
      <c r="H140" s="9" t="n">
        <v>394</v>
      </c>
      <c r="I140" s="9">
        <f>IF(OR(G140="",H140=""),"",G140*H140)</f>
        <v/>
      </c>
      <c r="J140" s="9" t="n">
        <v>2000</v>
      </c>
      <c r="K140" s="9" t="n">
        <v>1000</v>
      </c>
      <c r="L140" s="9">
        <f>IF(I140="","",I140-IF(J140="",0,J140)-IF(K140="",0,K140))</f>
        <v/>
      </c>
      <c r="M140" s="9">
        <f>IF(E140="","",XLOOKUP(E140,'Master Data'!$E$5:$E$15,'Master Data'!$G$5:$G$15,0))</f>
        <v/>
      </c>
      <c r="N140" s="9">
        <f>IF(E140="","",XLOOKUP(E140,'Master Data'!$E$5:$E$15,'Master Data'!$H$5:$H$15,0))</f>
        <v/>
      </c>
      <c r="O140" s="9">
        <f>IF(L140="","",L140-M140-N140)</f>
        <v/>
      </c>
      <c r="Q140" t="inlineStr">
        <is>
          <t>6</t>
        </is>
      </c>
      <c r="S140" s="9" t="n"/>
    </row>
    <row r="141">
      <c r="A141" t="n">
        <v>147</v>
      </c>
      <c r="B141" s="8" t="n">
        <v>46189.67144675926</v>
      </c>
      <c r="C141" t="inlineStr">
        <is>
          <t>SHYAM NARAIN RAMESH KUMAR AND  SONS</t>
        </is>
      </c>
      <c r="D141" t="inlineStr">
        <is>
          <t>NAWABGANJ</t>
        </is>
      </c>
      <c r="E141" t="inlineStr">
        <is>
          <t>UP27T0919</t>
        </is>
      </c>
      <c r="F141">
        <f>IF(E141="","",XLOOKUP(E141,'Master Data'!$E$5:$E$15,'Master Data'!$F$5:$F$15,""))</f>
        <v/>
      </c>
      <c r="G141" t="n">
        <v>20</v>
      </c>
      <c r="H141" s="9" t="n">
        <v>396</v>
      </c>
      <c r="I141" s="9">
        <f>IF(OR(G141="",H141=""),"",G141*H141)</f>
        <v/>
      </c>
      <c r="J141" s="9" t="n">
        <v>4000</v>
      </c>
      <c r="K141" s="9" t="n">
        <v>1500</v>
      </c>
      <c r="L141" s="9">
        <f>IF(I141="","",I141-IF(J141="",0,J141)-IF(K141="",0,K141))</f>
        <v/>
      </c>
      <c r="M141" s="9">
        <f>IF(E141="","",XLOOKUP(E141,'Master Data'!$E$5:$E$15,'Master Data'!$G$5:$G$15,0))</f>
        <v/>
      </c>
      <c r="N141" s="9">
        <f>IF(E141="","",XLOOKUP(E141,'Master Data'!$E$5:$E$15,'Master Data'!$H$5:$H$15,0))</f>
        <v/>
      </c>
      <c r="O141" s="9">
        <f>IF(L141="","",L141-M141-N141)</f>
        <v/>
      </c>
      <c r="Q141" t="inlineStr">
        <is>
          <t>6</t>
        </is>
      </c>
      <c r="S141" s="9" t="n"/>
    </row>
    <row r="142">
      <c r="A142" t="n">
        <v>149</v>
      </c>
      <c r="B142" s="8" t="n">
        <v>46189.75427083333</v>
      </c>
      <c r="C142" t="inlineStr">
        <is>
          <t>SHIV TRADING COMPANY</t>
        </is>
      </c>
      <c r="D142" t="inlineStr">
        <is>
          <t>NIGOHI</t>
        </is>
      </c>
      <c r="E142" t="inlineStr">
        <is>
          <t>UP25JT8804</t>
        </is>
      </c>
      <c r="F142">
        <f>IF(E142="","",XLOOKUP(E142,'Master Data'!$E$5:$E$15,'Master Data'!$F$5:$F$15,""))</f>
        <v/>
      </c>
      <c r="G142" t="n">
        <v>13</v>
      </c>
      <c r="H142" s="9" t="n">
        <v>354</v>
      </c>
      <c r="I142" s="9">
        <f>IF(OR(G142="",H142=""),"",G142*H142)</f>
        <v/>
      </c>
      <c r="J142" s="9" t="n">
        <v>2000</v>
      </c>
      <c r="K142" s="9" t="n">
        <v>1000</v>
      </c>
      <c r="L142" s="9">
        <f>IF(I142="","",I142-IF(J142="",0,J142)-IF(K142="",0,K142))</f>
        <v/>
      </c>
      <c r="M142" s="9">
        <f>IF(E142="","",XLOOKUP(E142,'Master Data'!$E$5:$E$15,'Master Data'!$G$5:$G$15,0))</f>
        <v/>
      </c>
      <c r="N142" s="9">
        <f>IF(E142="","",XLOOKUP(E142,'Master Data'!$E$5:$E$15,'Master Data'!$H$5:$H$15,0))</f>
        <v/>
      </c>
      <c r="O142" s="9">
        <f>IF(L142="","",L142-M142-N142)</f>
        <v/>
      </c>
      <c r="Q142" t="inlineStr">
        <is>
          <t>6</t>
        </is>
      </c>
      <c r="S142" s="9" t="n"/>
    </row>
    <row r="143">
      <c r="A143" t="n">
        <v>150</v>
      </c>
      <c r="B143" s="8" t="n">
        <v>46189.75458333334</v>
      </c>
      <c r="C143" t="inlineStr">
        <is>
          <t>CHAMPA LAL GUPTA AND SONS</t>
        </is>
      </c>
      <c r="D143" t="inlineStr">
        <is>
          <t>UJHANI</t>
        </is>
      </c>
      <c r="E143" t="inlineStr">
        <is>
          <t>UP27AT5718</t>
        </is>
      </c>
      <c r="F143">
        <f>IF(E143="","",XLOOKUP(E143,'Master Data'!$E$5:$E$15,'Master Data'!$F$5:$F$15,""))</f>
        <v/>
      </c>
      <c r="G143" t="n">
        <v>12</v>
      </c>
      <c r="H143" s="9" t="n">
        <v>411</v>
      </c>
      <c r="I143" s="9">
        <f>IF(OR(G143="",H143=""),"",G143*H143)</f>
        <v/>
      </c>
      <c r="J143" s="9" t="n"/>
      <c r="K143" s="9" t="n">
        <v>5600</v>
      </c>
      <c r="L143" s="9">
        <f>IF(I143="","",I143-IF(J143="",0,J143)-IF(K143="",0,K143))</f>
        <v/>
      </c>
      <c r="M143" s="9">
        <f>IF(E143="","",XLOOKUP(E143,'Master Data'!$E$5:$E$15,'Master Data'!$G$5:$G$15,0))</f>
        <v/>
      </c>
      <c r="N143" s="9">
        <f>IF(E143="","",XLOOKUP(E143,'Master Data'!$E$5:$E$15,'Master Data'!$H$5:$H$15,0))</f>
        <v/>
      </c>
      <c r="O143" s="9">
        <f>IF(L143="","",L143-M143-N143)</f>
        <v/>
      </c>
      <c r="Q143" t="inlineStr">
        <is>
          <t>9 EPOD</t>
        </is>
      </c>
      <c r="S143" s="9" t="n"/>
    </row>
    <row r="144">
      <c r="A144" t="n">
        <v>151</v>
      </c>
      <c r="B144" s="8" t="n">
        <v>46189.75434027778</v>
      </c>
      <c r="C144" t="inlineStr">
        <is>
          <t>CHAMPA LAL GUPTA AND SONS</t>
        </is>
      </c>
      <c r="D144" t="inlineStr">
        <is>
          <t>UJHANI</t>
        </is>
      </c>
      <c r="E144" t="inlineStr">
        <is>
          <t>UP27AT5718</t>
        </is>
      </c>
      <c r="F144">
        <f>IF(E144="","",XLOOKUP(E144,'Master Data'!$E$5:$E$15,'Master Data'!$F$5:$F$15,""))</f>
        <v/>
      </c>
      <c r="G144" t="n">
        <v>8</v>
      </c>
      <c r="H144" s="9" t="n">
        <v>411</v>
      </c>
      <c r="I144" s="9">
        <f>IF(OR(G144="",H144=""),"",G144*H144)</f>
        <v/>
      </c>
      <c r="J144" s="9" t="n"/>
      <c r="K144" s="9" t="n"/>
      <c r="L144" s="9">
        <f>IF(I144="","",I144-IF(J144="",0,J144)-IF(K144="",0,K144))</f>
        <v/>
      </c>
      <c r="M144" s="9">
        <f>IF(E144="","",XLOOKUP(E144,'Master Data'!$E$5:$E$15,'Master Data'!$G$5:$G$15,0))</f>
        <v/>
      </c>
      <c r="N144" s="9">
        <f>IF(E144="","",XLOOKUP(E144,'Master Data'!$E$5:$E$15,'Master Data'!$H$5:$H$15,0))</f>
        <v/>
      </c>
      <c r="O144" s="9">
        <f>IF(L144="","",L144-M144-N144)</f>
        <v/>
      </c>
      <c r="Q144" t="inlineStr">
        <is>
          <t>9 EPOD</t>
        </is>
      </c>
      <c r="S144" s="9" t="n"/>
    </row>
    <row r="145">
      <c r="A145" t="n">
        <v>152</v>
      </c>
      <c r="B145" s="8" t="n">
        <v>46189.75465277778</v>
      </c>
      <c r="C145" t="inlineStr">
        <is>
          <t>GARG CEMENT STORE</t>
        </is>
      </c>
      <c r="D145" t="inlineStr">
        <is>
          <t>DUNKA</t>
        </is>
      </c>
      <c r="E145" t="inlineStr">
        <is>
          <t>UP25AT6584</t>
        </is>
      </c>
      <c r="F145">
        <f>IF(E145="","",XLOOKUP(E145,'Master Data'!$E$5:$E$15,'Master Data'!$F$5:$F$15,""))</f>
        <v/>
      </c>
      <c r="G145" t="n">
        <v>20</v>
      </c>
      <c r="H145" s="9" t="n">
        <v>477</v>
      </c>
      <c r="I145" s="9">
        <f>IF(OR(G145="",H145=""),"",G145*H145)</f>
        <v/>
      </c>
      <c r="J145" s="9" t="n">
        <v>4000</v>
      </c>
      <c r="K145" s="9" t="n">
        <v>1500</v>
      </c>
      <c r="L145" s="9">
        <f>IF(I145="","",I145-IF(J145="",0,J145)-IF(K145="",0,K145))</f>
        <v/>
      </c>
      <c r="M145" s="9">
        <f>IF(E145="","",XLOOKUP(E145,'Master Data'!$E$5:$E$15,'Master Data'!$G$5:$G$15,0))</f>
        <v/>
      </c>
      <c r="N145" s="9">
        <f>IF(E145="","",XLOOKUP(E145,'Master Data'!$E$5:$E$15,'Master Data'!$H$5:$H$15,0))</f>
        <v/>
      </c>
      <c r="O145" s="9">
        <f>IF(L145="","",L145-M145-N145)</f>
        <v/>
      </c>
      <c r="Q145" t="inlineStr">
        <is>
          <t>6</t>
        </is>
      </c>
      <c r="S145" s="9" t="n"/>
    </row>
    <row r="146">
      <c r="A146" t="n">
        <v>154</v>
      </c>
      <c r="B146" s="8" t="n">
        <v>46189.83777777778</v>
      </c>
      <c r="C146" t="inlineStr">
        <is>
          <t>ALOK TRADERS</t>
        </is>
      </c>
      <c r="D146" t="inlineStr">
        <is>
          <t>SHERGARH (BLY)</t>
        </is>
      </c>
      <c r="E146" t="inlineStr">
        <is>
          <t>UP25DT8397</t>
        </is>
      </c>
      <c r="F146">
        <f>IF(E146="","",XLOOKUP(E146,'Master Data'!$E$5:$E$15,'Master Data'!$F$5:$F$15,""))</f>
        <v/>
      </c>
      <c r="G146" t="n">
        <v>25</v>
      </c>
      <c r="H146" s="9" t="n">
        <v>383</v>
      </c>
      <c r="I146" s="9">
        <f>IF(OR(G146="",H146=""),"",G146*H146)</f>
        <v/>
      </c>
      <c r="J146" s="9" t="n">
        <v>4500</v>
      </c>
      <c r="K146" s="9" t="n">
        <v>1500</v>
      </c>
      <c r="L146" s="9">
        <f>IF(I146="","",I146-IF(J146="",0,J146)-IF(K146="",0,K146))</f>
        <v/>
      </c>
      <c r="M146" s="9">
        <f>IF(E146="","",XLOOKUP(E146,'Master Data'!$E$5:$E$15,'Master Data'!$G$5:$G$15,0))</f>
        <v/>
      </c>
      <c r="N146" s="9">
        <f>IF(E146="","",XLOOKUP(E146,'Master Data'!$E$5:$E$15,'Master Data'!$H$5:$H$15,0))</f>
        <v/>
      </c>
      <c r="O146" s="9">
        <f>IF(L146="","",L146-M146-N146)</f>
        <v/>
      </c>
      <c r="Q146" t="inlineStr">
        <is>
          <t>9 EPOD</t>
        </is>
      </c>
      <c r="S146" s="9" t="n"/>
    </row>
    <row r="147">
      <c r="A147" t="n">
        <v>153</v>
      </c>
      <c r="B147" s="8" t="n">
        <v>46189.83760416666</v>
      </c>
      <c r="C147" t="inlineStr">
        <is>
          <t>ALOK TRADERS</t>
        </is>
      </c>
      <c r="D147" t="inlineStr">
        <is>
          <t>SHERGARH (BLY)</t>
        </is>
      </c>
      <c r="E147" t="inlineStr">
        <is>
          <t>UP22T5165</t>
        </is>
      </c>
      <c r="F147">
        <f>IF(E147="","",XLOOKUP(E147,'Master Data'!$E$5:$E$15,'Master Data'!$F$5:$F$15,""))</f>
        <v/>
      </c>
      <c r="G147" t="n">
        <v>25</v>
      </c>
      <c r="H147" s="9" t="n">
        <v>383</v>
      </c>
      <c r="I147" s="9">
        <f>IF(OR(G147="",H147=""),"",G147*H147)</f>
        <v/>
      </c>
      <c r="J147" s="9" t="n">
        <v>4500</v>
      </c>
      <c r="K147" s="9" t="n">
        <v>1500</v>
      </c>
      <c r="L147" s="9">
        <f>IF(I147="","",I147-IF(J147="",0,J147)-IF(K147="",0,K147))</f>
        <v/>
      </c>
      <c r="M147" s="9">
        <f>IF(E147="","",XLOOKUP(E147,'Master Data'!$E$5:$E$15,'Master Data'!$G$5:$G$15,0))</f>
        <v/>
      </c>
      <c r="N147" s="9">
        <f>IF(E147="","",XLOOKUP(E147,'Master Data'!$E$5:$E$15,'Master Data'!$H$5:$H$15,0))</f>
        <v/>
      </c>
      <c r="O147" s="9">
        <f>IF(L147="","",L147-M147-N147)</f>
        <v/>
      </c>
      <c r="P147" t="inlineStr">
        <is>
          <t>YES</t>
        </is>
      </c>
      <c r="Q147" t="inlineStr">
        <is>
          <t>7 EPOD</t>
        </is>
      </c>
      <c r="S147" s="9" t="n"/>
    </row>
    <row r="148">
      <c r="A148" t="n">
        <v>155</v>
      </c>
      <c r="B148" s="8" t="n">
        <v>46189.79594907408</v>
      </c>
      <c r="C148" t="inlineStr">
        <is>
          <t>SHIVAM STEELS</t>
        </is>
      </c>
      <c r="D148" t="inlineStr">
        <is>
          <t>BUDAUN</t>
        </is>
      </c>
      <c r="E148" t="inlineStr">
        <is>
          <t>UP25AT3048</t>
        </is>
      </c>
      <c r="F148">
        <f>IF(E148="","",XLOOKUP(E148,'Master Data'!$E$5:$E$15,'Master Data'!$F$5:$F$15,""))</f>
        <v/>
      </c>
      <c r="G148" t="n">
        <v>5.5</v>
      </c>
      <c r="H148" s="9" t="n">
        <v>365</v>
      </c>
      <c r="I148" s="9">
        <f>IF(OR(G148="",H148=""),"",G148*H148)</f>
        <v/>
      </c>
      <c r="J148" s="9" t="n">
        <v>3500</v>
      </c>
      <c r="K148" s="9" t="n">
        <v>1500</v>
      </c>
      <c r="L148" s="9">
        <f>IF(I148="","",I148-IF(J148="",0,J148)-IF(K148="",0,K148))</f>
        <v/>
      </c>
      <c r="M148" s="9">
        <f>IF(E148="","",XLOOKUP(E148,'Master Data'!$E$5:$E$15,'Master Data'!$G$5:$G$15,0))</f>
        <v/>
      </c>
      <c r="N148" s="9">
        <f>IF(E148="","",XLOOKUP(E148,'Master Data'!$E$5:$E$15,'Master Data'!$H$5:$H$15,0))</f>
        <v/>
      </c>
      <c r="O148" s="9">
        <f>IF(L148="","",L148-M148-N148)</f>
        <v/>
      </c>
      <c r="Q148" t="inlineStr">
        <is>
          <t>6</t>
        </is>
      </c>
      <c r="S148" s="9" t="n"/>
    </row>
    <row r="149">
      <c r="A149" t="n">
        <v>156</v>
      </c>
      <c r="B149" s="8" t="n">
        <v>46189.79631944445</v>
      </c>
      <c r="C149" t="inlineStr">
        <is>
          <t>SHIVAM STEELS</t>
        </is>
      </c>
      <c r="D149" t="inlineStr">
        <is>
          <t>BUDAUN</t>
        </is>
      </c>
      <c r="E149" t="inlineStr">
        <is>
          <t>UP25AT3048</t>
        </is>
      </c>
      <c r="F149">
        <f>IF(E149="","",XLOOKUP(E149,'Master Data'!$E$5:$E$15,'Master Data'!$F$5:$F$15,""))</f>
        <v/>
      </c>
      <c r="G149" t="n">
        <v>12.5</v>
      </c>
      <c r="H149" s="9" t="n">
        <v>365</v>
      </c>
      <c r="I149" s="9">
        <f>IF(OR(G149="",H149=""),"",G149*H149)</f>
        <v/>
      </c>
      <c r="J149" s="9" t="n"/>
      <c r="K149" s="9" t="n"/>
      <c r="L149" s="9">
        <f>IF(I149="","",I149-IF(J149="",0,J149)-IF(K149="",0,K149))</f>
        <v/>
      </c>
      <c r="M149" s="9">
        <f>IF(E149="","",XLOOKUP(E149,'Master Data'!$E$5:$E$15,'Master Data'!$G$5:$G$15,0))</f>
        <v/>
      </c>
      <c r="N149" s="9">
        <f>IF(E149="","",XLOOKUP(E149,'Master Data'!$E$5:$E$15,'Master Data'!$H$5:$H$15,0))</f>
        <v/>
      </c>
      <c r="O149" s="9">
        <f>IF(L149="","",L149-M149-N149)</f>
        <v/>
      </c>
      <c r="Q149" t="inlineStr">
        <is>
          <t>6</t>
        </is>
      </c>
      <c r="S149" s="9" t="n"/>
    </row>
    <row r="150">
      <c r="A150" t="n">
        <v>157</v>
      </c>
      <c r="B150" s="8" t="n">
        <v>46189.79599537037</v>
      </c>
      <c r="C150" t="inlineStr">
        <is>
          <t>SHIVAM STEELS</t>
        </is>
      </c>
      <c r="D150" t="inlineStr">
        <is>
          <t>BUDAUN</t>
        </is>
      </c>
      <c r="E150" t="inlineStr">
        <is>
          <t>UP25AT3048</t>
        </is>
      </c>
      <c r="F150">
        <f>IF(E150="","",XLOOKUP(E150,'Master Data'!$E$5:$E$15,'Master Data'!$F$5:$F$15,""))</f>
        <v/>
      </c>
      <c r="G150" t="n">
        <v>2</v>
      </c>
      <c r="H150" s="9" t="n">
        <v>365</v>
      </c>
      <c r="I150" s="9">
        <f>IF(OR(G150="",H150=""),"",G150*H150)</f>
        <v/>
      </c>
      <c r="J150" s="9" t="n"/>
      <c r="K150" s="9" t="n"/>
      <c r="L150" s="9">
        <f>IF(I150="","",I150-IF(J150="",0,J150)-IF(K150="",0,K150))</f>
        <v/>
      </c>
      <c r="M150" s="9">
        <f>IF(E150="","",XLOOKUP(E150,'Master Data'!$E$5:$E$15,'Master Data'!$G$5:$G$15,0))</f>
        <v/>
      </c>
      <c r="N150" s="9">
        <f>IF(E150="","",XLOOKUP(E150,'Master Data'!$E$5:$E$15,'Master Data'!$H$5:$H$15,0))</f>
        <v/>
      </c>
      <c r="O150" s="9">
        <f>IF(L150="","",L150-M150-N150)</f>
        <v/>
      </c>
      <c r="Q150" t="inlineStr">
        <is>
          <t>6</t>
        </is>
      </c>
      <c r="S150" s="9" t="n"/>
    </row>
    <row r="151">
      <c r="A151" t="n">
        <v>159</v>
      </c>
      <c r="B151" s="8" t="n">
        <v>46189.87945601852</v>
      </c>
      <c r="C151" t="inlineStr">
        <is>
          <t>APNA KISHAN KENDRA</t>
        </is>
      </c>
      <c r="D151" t="inlineStr">
        <is>
          <t>PALIYA KALAN</t>
        </is>
      </c>
      <c r="E151" t="inlineStr">
        <is>
          <t>UP25BT2915</t>
        </is>
      </c>
      <c r="F151">
        <f>IF(E151="","",XLOOKUP(E151,'Master Data'!$E$5:$E$15,'Master Data'!$F$5:$F$15,""))</f>
        <v/>
      </c>
      <c r="G151" t="n">
        <v>25</v>
      </c>
      <c r="H151" s="9" t="n">
        <v>550</v>
      </c>
      <c r="I151" s="9">
        <f>IF(OR(G151="",H151=""),"",G151*H151)</f>
        <v/>
      </c>
      <c r="J151" s="9" t="n"/>
      <c r="K151" s="9" t="n">
        <v>10000</v>
      </c>
      <c r="L151" s="9">
        <f>IF(I151="","",I151-IF(J151="",0,J151)-IF(K151="",0,K151))</f>
        <v/>
      </c>
      <c r="M151" s="9">
        <f>IF(E151="","",XLOOKUP(E151,'Master Data'!$E$5:$E$15,'Master Data'!$G$5:$G$15,0))</f>
        <v/>
      </c>
      <c r="N151" s="9">
        <f>IF(E151="","",XLOOKUP(E151,'Master Data'!$E$5:$E$15,'Master Data'!$H$5:$H$15,0))</f>
        <v/>
      </c>
      <c r="O151" s="9">
        <f>IF(L151="","",L151-M151-N151)</f>
        <v/>
      </c>
      <c r="Q151" t="inlineStr">
        <is>
          <t>9 EPOD</t>
        </is>
      </c>
      <c r="S151" s="9" t="n"/>
    </row>
    <row r="152">
      <c r="A152" t="n">
        <v>160</v>
      </c>
      <c r="B152" s="8" t="n">
        <v>46189.79592592592</v>
      </c>
      <c r="C152" t="inlineStr">
        <is>
          <t>NEW VERMA TRADING COMPANY</t>
        </is>
      </c>
      <c r="D152" t="inlineStr">
        <is>
          <t>LAKHIMPUR</t>
        </is>
      </c>
      <c r="E152" t="inlineStr">
        <is>
          <t>UP25CT2572</t>
        </is>
      </c>
      <c r="F152">
        <f>IF(E152="","",XLOOKUP(E152,'Master Data'!$E$5:$E$15,'Master Data'!$F$5:$F$15,""))</f>
        <v/>
      </c>
      <c r="G152" t="n">
        <v>25</v>
      </c>
      <c r="H152" s="9" t="n">
        <v>531</v>
      </c>
      <c r="I152" s="9">
        <f>IF(OR(G152="",H152=""),"",G152*H152)</f>
        <v/>
      </c>
      <c r="J152" s="9" t="n">
        <v>7000</v>
      </c>
      <c r="K152" s="9" t="n">
        <v>2000</v>
      </c>
      <c r="L152" s="9">
        <f>IF(I152="","",I152-IF(J152="",0,J152)-IF(K152="",0,K152))</f>
        <v/>
      </c>
      <c r="M152" s="9">
        <f>IF(E152="","",XLOOKUP(E152,'Master Data'!$E$5:$E$15,'Master Data'!$G$5:$G$15,0))</f>
        <v/>
      </c>
      <c r="N152" s="9">
        <f>IF(E152="","",XLOOKUP(E152,'Master Data'!$E$5:$E$15,'Master Data'!$H$5:$H$15,0))</f>
        <v/>
      </c>
      <c r="O152" s="9">
        <f>IF(L152="","",L152-M152-N152)</f>
        <v/>
      </c>
      <c r="Q152" t="inlineStr">
        <is>
          <t>6</t>
        </is>
      </c>
      <c r="S152" s="9" t="n"/>
    </row>
    <row r="153">
      <c r="A153" t="n">
        <v>161</v>
      </c>
      <c r="B153" s="8" t="n">
        <v>46189.87943287037</v>
      </c>
      <c r="C153" t="inlineStr">
        <is>
          <t>ANKIT KUMAR VERMA</t>
        </is>
      </c>
      <c r="D153" t="inlineStr">
        <is>
          <t>SITAPUR</t>
        </is>
      </c>
      <c r="E153" t="inlineStr">
        <is>
          <t>UP27BT0595</t>
        </is>
      </c>
      <c r="F153">
        <f>IF(E153="","",XLOOKUP(E153,'Master Data'!$E$5:$E$15,'Master Data'!$F$5:$F$15,""))</f>
        <v/>
      </c>
      <c r="G153" t="n">
        <v>25</v>
      </c>
      <c r="H153" s="9" t="n">
        <v>569</v>
      </c>
      <c r="I153" s="9">
        <f>IF(OR(G153="",H153=""),"",G153*H153)</f>
        <v/>
      </c>
      <c r="J153" s="9" t="n"/>
      <c r="K153" s="9" t="n">
        <v>10000</v>
      </c>
      <c r="L153" s="9">
        <f>IF(I153="","",I153-IF(J153="",0,J153)-IF(K153="",0,K153))</f>
        <v/>
      </c>
      <c r="M153" s="9">
        <f>IF(E153="","",XLOOKUP(E153,'Master Data'!$E$5:$E$15,'Master Data'!$G$5:$G$15,0))</f>
        <v/>
      </c>
      <c r="N153" s="9">
        <f>IF(E153="","",XLOOKUP(E153,'Master Data'!$E$5:$E$15,'Master Data'!$H$5:$H$15,0))</f>
        <v/>
      </c>
      <c r="O153" s="9">
        <f>IF(L153="","",L153-M153-N153)</f>
        <v/>
      </c>
      <c r="Q153" t="inlineStr">
        <is>
          <t>9 EPOD</t>
        </is>
      </c>
      <c r="S153" s="9" t="n"/>
    </row>
    <row r="154">
      <c r="A154" t="n">
        <v>162</v>
      </c>
      <c r="B154" s="8" t="n">
        <v>46190.04648148148</v>
      </c>
      <c r="C154" t="inlineStr">
        <is>
          <t>R.C. ENTERPRISES</t>
        </is>
      </c>
      <c r="D154" t="inlineStr">
        <is>
          <t>SITAPUR</t>
        </is>
      </c>
      <c r="E154" t="inlineStr">
        <is>
          <t>UP26T1707</t>
        </is>
      </c>
      <c r="F154">
        <f>IF(E154="","",XLOOKUP(E154,'Master Data'!$E$5:$E$15,'Master Data'!$F$5:$F$15,""))</f>
        <v/>
      </c>
      <c r="G154" t="n">
        <v>25</v>
      </c>
      <c r="H154" s="9" t="n">
        <v>571</v>
      </c>
      <c r="I154" s="9">
        <f>IF(OR(G154="",H154=""),"",G154*H154)</f>
        <v/>
      </c>
      <c r="J154" s="9" t="n">
        <v>7000</v>
      </c>
      <c r="K154" s="9" t="n">
        <v>1500</v>
      </c>
      <c r="L154" s="9">
        <f>IF(I154="","",I154-IF(J154="",0,J154)-IF(K154="",0,K154))</f>
        <v/>
      </c>
      <c r="M154" s="9">
        <f>IF(E154="","",XLOOKUP(E154,'Master Data'!$E$5:$E$15,'Master Data'!$G$5:$G$15,0))</f>
        <v/>
      </c>
      <c r="N154" s="9">
        <f>IF(E154="","",XLOOKUP(E154,'Master Data'!$E$5:$E$15,'Master Data'!$H$5:$H$15,0))</f>
        <v/>
      </c>
      <c r="O154" s="9">
        <f>IF(L154="","",L154-M154-N154)</f>
        <v/>
      </c>
      <c r="Q154" t="inlineStr">
        <is>
          <t>7 EPOD</t>
        </is>
      </c>
      <c r="S154" s="9" t="n"/>
    </row>
    <row r="155">
      <c r="A155" t="n">
        <v>163</v>
      </c>
      <c r="B155" s="8" t="n">
        <v>46189.87982638889</v>
      </c>
      <c r="C155" t="inlineStr">
        <is>
          <t>SHIVAM STEELS</t>
        </is>
      </c>
      <c r="D155" t="inlineStr">
        <is>
          <t>BUDAUN</t>
        </is>
      </c>
      <c r="E155" t="inlineStr">
        <is>
          <t>UP25CT3782</t>
        </is>
      </c>
      <c r="F155">
        <f>IF(E155="","",XLOOKUP(E155,'Master Data'!$E$5:$E$15,'Master Data'!$F$5:$F$15,""))</f>
        <v/>
      </c>
      <c r="G155" t="n">
        <v>12.5</v>
      </c>
      <c r="H155" s="9" t="n">
        <v>329</v>
      </c>
      <c r="I155" s="9">
        <f>IF(OR(G155="",H155=""),"",G155*H155)</f>
        <v/>
      </c>
      <c r="J155" s="9" t="n">
        <v>4000</v>
      </c>
      <c r="K155" s="9" t="n">
        <v>1500</v>
      </c>
      <c r="L155" s="9">
        <f>IF(I155="","",I155-IF(J155="",0,J155)-IF(K155="",0,K155))</f>
        <v/>
      </c>
      <c r="M155" s="9">
        <f>IF(E155="","",XLOOKUP(E155,'Master Data'!$E$5:$E$15,'Master Data'!$G$5:$G$15,0))</f>
        <v/>
      </c>
      <c r="N155" s="9">
        <f>IF(E155="","",XLOOKUP(E155,'Master Data'!$E$5:$E$15,'Master Data'!$H$5:$H$15,0))</f>
        <v/>
      </c>
      <c r="O155" s="9">
        <f>IF(L155="","",L155-M155-N155)</f>
        <v/>
      </c>
      <c r="Q155" t="inlineStr">
        <is>
          <t>9 EPOD</t>
        </is>
      </c>
      <c r="S155" s="9" t="n"/>
    </row>
    <row r="156">
      <c r="A156" t="n">
        <v>164</v>
      </c>
      <c r="B156" s="8" t="n">
        <v>46189.87943287037</v>
      </c>
      <c r="C156" t="inlineStr">
        <is>
          <t>SHIVAM STEELS</t>
        </is>
      </c>
      <c r="D156" t="inlineStr">
        <is>
          <t>BUDAUN</t>
        </is>
      </c>
      <c r="E156" t="inlineStr">
        <is>
          <t>UP25CT3782</t>
        </is>
      </c>
      <c r="F156">
        <f>IF(E156="","",XLOOKUP(E156,'Master Data'!$E$5:$E$15,'Master Data'!$F$5:$F$15,""))</f>
        <v/>
      </c>
      <c r="G156" t="n">
        <v>12.5</v>
      </c>
      <c r="H156" s="9" t="n">
        <v>329</v>
      </c>
      <c r="I156" s="9">
        <f>IF(OR(G156="",H156=""),"",G156*H156)</f>
        <v/>
      </c>
      <c r="J156" s="9" t="n"/>
      <c r="K156" s="9" t="n"/>
      <c r="L156" s="9">
        <f>IF(I156="","",I156-IF(J156="",0,J156)-IF(K156="",0,K156))</f>
        <v/>
      </c>
      <c r="M156" s="9">
        <f>IF(E156="","",XLOOKUP(E156,'Master Data'!$E$5:$E$15,'Master Data'!$G$5:$G$15,0))</f>
        <v/>
      </c>
      <c r="N156" s="9">
        <f>IF(E156="","",XLOOKUP(E156,'Master Data'!$E$5:$E$15,'Master Data'!$H$5:$H$15,0))</f>
        <v/>
      </c>
      <c r="O156" s="9">
        <f>IF(L156="","",L156-M156-N156)</f>
        <v/>
      </c>
      <c r="Q156" t="inlineStr">
        <is>
          <t>9 EPOD</t>
        </is>
      </c>
      <c r="S156" s="9" t="n"/>
    </row>
    <row r="157">
      <c r="A157" t="n">
        <v>165</v>
      </c>
      <c r="B157" s="8" t="n">
        <v>46189.92130787037</v>
      </c>
      <c r="C157" t="inlineStr">
        <is>
          <t>ALOK TRADERS</t>
        </is>
      </c>
      <c r="D157" t="inlineStr">
        <is>
          <t>BHUTA</t>
        </is>
      </c>
      <c r="E157" t="inlineStr">
        <is>
          <t>UP25CT4514</t>
        </is>
      </c>
      <c r="F157">
        <f>IF(E157="","",XLOOKUP(E157,'Master Data'!$E$5:$E$15,'Master Data'!$F$5:$F$15,""))</f>
        <v/>
      </c>
      <c r="G157" t="n">
        <v>25</v>
      </c>
      <c r="H157" s="9" t="n">
        <v>246</v>
      </c>
      <c r="I157" s="9">
        <f>IF(OR(G157="",H157=""),"",G157*H157)</f>
        <v/>
      </c>
      <c r="J157" s="9" t="n"/>
      <c r="K157" s="9" t="n">
        <v>5000</v>
      </c>
      <c r="L157" s="9">
        <f>IF(I157="","",I157-IF(J157="",0,J157)-IF(K157="",0,K157))</f>
        <v/>
      </c>
      <c r="M157" s="9">
        <f>IF(E157="","",XLOOKUP(E157,'Master Data'!$E$5:$E$15,'Master Data'!$G$5:$G$15,0))</f>
        <v/>
      </c>
      <c r="N157" s="9">
        <f>IF(E157="","",XLOOKUP(E157,'Master Data'!$E$5:$E$15,'Master Data'!$H$5:$H$15,0))</f>
        <v/>
      </c>
      <c r="O157" s="9">
        <f>IF(L157="","",L157-M157-N157)</f>
        <v/>
      </c>
      <c r="Q157" t="inlineStr">
        <is>
          <t>7 EPOD</t>
        </is>
      </c>
      <c r="S157" s="9" t="n"/>
    </row>
    <row r="158">
      <c r="A158" t="n">
        <v>166</v>
      </c>
      <c r="B158" s="8" t="n">
        <v>46190.46303240741</v>
      </c>
      <c r="C158" t="inlineStr">
        <is>
          <t>JAI BHARAT ENTERPRISES (SIS)</t>
        </is>
      </c>
      <c r="D158" t="inlineStr">
        <is>
          <t>NIGOHI</t>
        </is>
      </c>
      <c r="E158" t="inlineStr">
        <is>
          <t>UP25JT8803</t>
        </is>
      </c>
      <c r="F158">
        <f>IF(E158="","",XLOOKUP(E158,'Master Data'!$E$5:$E$15,'Master Data'!$F$5:$F$15,""))</f>
        <v/>
      </c>
      <c r="G158" t="n">
        <v>13</v>
      </c>
      <c r="H158" s="9" t="n">
        <v>360</v>
      </c>
      <c r="I158" s="9">
        <f>IF(OR(G158="",H158=""),"",G158*H158)</f>
        <v/>
      </c>
      <c r="J158" s="9" t="n">
        <v>2000</v>
      </c>
      <c r="K158" s="9" t="n">
        <v>1000</v>
      </c>
      <c r="L158" s="9">
        <f>IF(I158="","",I158-IF(J158="",0,J158)-IF(K158="",0,K158))</f>
        <v/>
      </c>
      <c r="M158" s="9">
        <f>IF(E158="","",XLOOKUP(E158,'Master Data'!$E$5:$E$15,'Master Data'!$G$5:$G$15,0))</f>
        <v/>
      </c>
      <c r="N158" s="9">
        <f>IF(E158="","",XLOOKUP(E158,'Master Data'!$E$5:$E$15,'Master Data'!$H$5:$H$15,0))</f>
        <v/>
      </c>
      <c r="O158" s="9">
        <f>IF(L158="","",L158-M158-N158)</f>
        <v/>
      </c>
      <c r="Q158" t="inlineStr">
        <is>
          <t>6</t>
        </is>
      </c>
      <c r="S158" s="9" t="n"/>
    </row>
    <row r="159">
      <c r="A159" t="n">
        <v>168</v>
      </c>
      <c r="B159" s="8" t="n">
        <v>46190.67128472222</v>
      </c>
      <c r="C159" t="inlineStr">
        <is>
          <t>ALOK TRADERS</t>
        </is>
      </c>
      <c r="D159" t="inlineStr">
        <is>
          <t>MEERGANJ</t>
        </is>
      </c>
      <c r="E159" t="inlineStr">
        <is>
          <t>UP25AT3048</t>
        </is>
      </c>
      <c r="F159">
        <f>IF(E159="","",XLOOKUP(E159,'Master Data'!$E$5:$E$15,'Master Data'!$F$5:$F$15,""))</f>
        <v/>
      </c>
      <c r="G159" t="n">
        <v>20</v>
      </c>
      <c r="H159" s="9" t="n">
        <v>561</v>
      </c>
      <c r="I159" s="9">
        <f>IF(OR(G159="",H159=""),"",G159*H159)</f>
        <v/>
      </c>
      <c r="J159" s="9" t="n">
        <v>4500</v>
      </c>
      <c r="K159" s="9" t="n">
        <v>1500</v>
      </c>
      <c r="L159" s="9">
        <f>IF(I159="","",I159-IF(J159="",0,J159)-IF(K159="",0,K159))</f>
        <v/>
      </c>
      <c r="M159" s="9">
        <f>IF(E159="","",XLOOKUP(E159,'Master Data'!$E$5:$E$15,'Master Data'!$G$5:$G$15,0))</f>
        <v/>
      </c>
      <c r="N159" s="9">
        <f>IF(E159="","",XLOOKUP(E159,'Master Data'!$E$5:$E$15,'Master Data'!$H$5:$H$15,0))</f>
        <v/>
      </c>
      <c r="O159" s="9">
        <f>IF(L159="","",L159-M159-N159)</f>
        <v/>
      </c>
      <c r="Q159" t="inlineStr">
        <is>
          <t>7 EPOD</t>
        </is>
      </c>
      <c r="S159" s="9" t="n"/>
    </row>
    <row r="160">
      <c r="A160" t="n">
        <v>169</v>
      </c>
      <c r="B160" s="8" t="n">
        <v>46190.62962962963</v>
      </c>
      <c r="C160" t="inlineStr">
        <is>
          <t>VIJAY TRADERS</t>
        </is>
      </c>
      <c r="D160" t="inlineStr">
        <is>
          <t>NAWADIA JHADA</t>
        </is>
      </c>
      <c r="E160" t="inlineStr">
        <is>
          <t>UP25CT4514</t>
        </is>
      </c>
      <c r="F160">
        <f>IF(E160="","",XLOOKUP(E160,'Master Data'!$E$5:$E$15,'Master Data'!$F$5:$F$15,""))</f>
        <v/>
      </c>
      <c r="G160" t="n">
        <v>25</v>
      </c>
      <c r="H160" s="9" t="n">
        <v>283</v>
      </c>
      <c r="I160" s="9">
        <f>IF(OR(G160="",H160=""),"",G160*H160)</f>
        <v/>
      </c>
      <c r="J160" s="9" t="n"/>
      <c r="K160" s="9" t="n">
        <v>4000</v>
      </c>
      <c r="L160" s="9">
        <f>IF(I160="","",I160-IF(J160="",0,J160)-IF(K160="",0,K160))</f>
        <v/>
      </c>
      <c r="M160" s="9">
        <f>IF(E160="","",XLOOKUP(E160,'Master Data'!$E$5:$E$15,'Master Data'!$G$5:$G$15,0))</f>
        <v/>
      </c>
      <c r="N160" s="9">
        <f>IF(E160="","",XLOOKUP(E160,'Master Data'!$E$5:$E$15,'Master Data'!$H$5:$H$15,0))</f>
        <v/>
      </c>
      <c r="O160" s="9">
        <f>IF(L160="","",L160-M160-N160)</f>
        <v/>
      </c>
      <c r="Q160" t="inlineStr">
        <is>
          <t>7 EPOD</t>
        </is>
      </c>
      <c r="S160" s="9" t="n"/>
    </row>
    <row r="161">
      <c r="A161" t="n">
        <v>167</v>
      </c>
      <c r="B161" s="8" t="n">
        <v>46190.75481481481</v>
      </c>
      <c r="C161" t="inlineStr">
        <is>
          <t>GEETA TRADERS</t>
        </is>
      </c>
      <c r="D161" t="inlineStr">
        <is>
          <t>BILSANDA</t>
        </is>
      </c>
      <c r="E161" t="inlineStr">
        <is>
          <t>UP27T0919</t>
        </is>
      </c>
      <c r="F161">
        <f>IF(E161="","",XLOOKUP(E161,'Master Data'!$E$5:$E$15,'Master Data'!$F$5:$F$15,""))</f>
        <v/>
      </c>
      <c r="G161" t="n">
        <v>20</v>
      </c>
      <c r="H161" s="9" t="n">
        <v>408</v>
      </c>
      <c r="I161" s="9">
        <f>IF(OR(G161="",H161=""),"",G161*H161)</f>
        <v/>
      </c>
      <c r="J161" s="9" t="n">
        <v>4000</v>
      </c>
      <c r="K161" s="9" t="n">
        <v>1500</v>
      </c>
      <c r="L161" s="9">
        <f>IF(I161="","",I161-IF(J161="",0,J161)-IF(K161="",0,K161))</f>
        <v/>
      </c>
      <c r="M161" s="9">
        <f>IF(E161="","",XLOOKUP(E161,'Master Data'!$E$5:$E$15,'Master Data'!$G$5:$G$15,0))</f>
        <v/>
      </c>
      <c r="N161" s="9">
        <f>IF(E161="","",XLOOKUP(E161,'Master Data'!$E$5:$E$15,'Master Data'!$H$5:$H$15,0))</f>
        <v/>
      </c>
      <c r="O161" s="9">
        <f>IF(L161="","",L161-M161-N161)</f>
        <v/>
      </c>
      <c r="P161" t="inlineStr">
        <is>
          <t>YES</t>
        </is>
      </c>
      <c r="Q161" t="inlineStr">
        <is>
          <t>11</t>
        </is>
      </c>
      <c r="S161" s="9" t="n"/>
    </row>
    <row r="162">
      <c r="A162" t="n">
        <v>170</v>
      </c>
      <c r="B162" s="8" t="n">
        <v>46190.87920138889</v>
      </c>
      <c r="C162" t="inlineStr">
        <is>
          <t>GARG CEMENT STORE</t>
        </is>
      </c>
      <c r="D162" t="inlineStr">
        <is>
          <t>PARSA KHERA</t>
        </is>
      </c>
      <c r="E162" t="inlineStr">
        <is>
          <t>UP25AT6584</t>
        </is>
      </c>
      <c r="F162">
        <f>IF(E162="","",XLOOKUP(E162,'Master Data'!$E$5:$E$15,'Master Data'!$F$5:$F$15,""))</f>
        <v/>
      </c>
      <c r="G162" t="n">
        <v>20</v>
      </c>
      <c r="H162" s="9" t="n">
        <v>386</v>
      </c>
      <c r="I162" s="9">
        <f>IF(OR(G162="",H162=""),"",G162*H162)</f>
        <v/>
      </c>
      <c r="J162" s="9" t="n">
        <v>3000</v>
      </c>
      <c r="K162" s="9" t="n">
        <v>1500</v>
      </c>
      <c r="L162" s="9">
        <f>IF(I162="","",I162-IF(J162="",0,J162)-IF(K162="",0,K162))</f>
        <v/>
      </c>
      <c r="M162" s="9">
        <f>IF(E162="","",XLOOKUP(E162,'Master Data'!$E$5:$E$15,'Master Data'!$G$5:$G$15,0))</f>
        <v/>
      </c>
      <c r="N162" s="9">
        <f>IF(E162="","",XLOOKUP(E162,'Master Data'!$E$5:$E$15,'Master Data'!$H$5:$H$15,0))</f>
        <v/>
      </c>
      <c r="O162" s="9">
        <f>IF(L162="","",L162-M162-N162)</f>
        <v/>
      </c>
      <c r="Q162" t="inlineStr">
        <is>
          <t>6</t>
        </is>
      </c>
      <c r="S162" s="9" t="n"/>
    </row>
    <row r="163">
      <c r="A163" t="n">
        <v>171</v>
      </c>
      <c r="B163" s="8" t="n">
        <v>46190.83795138889</v>
      </c>
      <c r="C163" t="inlineStr">
        <is>
          <t>RAFI KHAN BUILDING MATERIAL</t>
        </is>
      </c>
      <c r="D163" t="inlineStr">
        <is>
          <t>SHAHBAD (HARDOI)</t>
        </is>
      </c>
      <c r="E163" t="inlineStr">
        <is>
          <t>UP25JT8802</t>
        </is>
      </c>
      <c r="F163">
        <f>IF(E163="","",XLOOKUP(E163,'Master Data'!$E$5:$E$15,'Master Data'!$F$5:$F$15,""))</f>
        <v/>
      </c>
      <c r="G163" t="n">
        <v>13</v>
      </c>
      <c r="H163" s="9" t="n">
        <v>412</v>
      </c>
      <c r="I163" s="9">
        <f>IF(OR(G163="",H163=""),"",G163*H163)</f>
        <v/>
      </c>
      <c r="J163" s="9" t="n">
        <v>2000</v>
      </c>
      <c r="K163" s="9" t="n">
        <v>1000</v>
      </c>
      <c r="L163" s="9">
        <f>IF(I163="","",I163-IF(J163="",0,J163)-IF(K163="",0,K163))</f>
        <v/>
      </c>
      <c r="M163" s="9">
        <f>IF(E163="","",XLOOKUP(E163,'Master Data'!$E$5:$E$15,'Master Data'!$G$5:$G$15,0))</f>
        <v/>
      </c>
      <c r="N163" s="9">
        <f>IF(E163="","",XLOOKUP(E163,'Master Data'!$E$5:$E$15,'Master Data'!$H$5:$H$15,0))</f>
        <v/>
      </c>
      <c r="O163" s="9">
        <f>IF(L163="","",L163-M163-N163)</f>
        <v/>
      </c>
      <c r="Q163" t="inlineStr">
        <is>
          <t>11</t>
        </is>
      </c>
      <c r="S163" s="9" t="n"/>
    </row>
    <row r="164">
      <c r="A164" t="n">
        <v>172</v>
      </c>
      <c r="B164" s="8" t="n">
        <v>46190.83773148148</v>
      </c>
      <c r="C164" t="inlineStr">
        <is>
          <t>SHRI NAVAL JI TRADERS</t>
        </is>
      </c>
      <c r="D164" t="inlineStr">
        <is>
          <t>FATEHGANJ EAST</t>
        </is>
      </c>
      <c r="E164" t="inlineStr">
        <is>
          <t>UP27AT5718</t>
        </is>
      </c>
      <c r="F164">
        <f>IF(E164="","",XLOOKUP(E164,'Master Data'!$E$5:$E$15,'Master Data'!$F$5:$F$15,""))</f>
        <v/>
      </c>
      <c r="G164" t="n">
        <v>20</v>
      </c>
      <c r="H164" s="9" t="n">
        <v>182</v>
      </c>
      <c r="I164" s="9">
        <f>IF(OR(G164="",H164=""),"",G164*H164)</f>
        <v/>
      </c>
      <c r="J164" s="9" t="n"/>
      <c r="K164" s="9" t="n"/>
      <c r="L164" s="9">
        <f>IF(I164="","",I164-IF(J164="",0,J164)-IF(K164="",0,K164))</f>
        <v/>
      </c>
      <c r="M164" s="9">
        <f>IF(E164="","",XLOOKUP(E164,'Master Data'!$E$5:$E$15,'Master Data'!$G$5:$G$15,0))</f>
        <v/>
      </c>
      <c r="N164" s="9">
        <f>IF(E164="","",XLOOKUP(E164,'Master Data'!$E$5:$E$15,'Master Data'!$H$5:$H$15,0))</f>
        <v/>
      </c>
      <c r="O164" s="9">
        <f>IF(L164="","",L164-M164-N164)</f>
        <v/>
      </c>
      <c r="Q164" t="inlineStr">
        <is>
          <t>6</t>
        </is>
      </c>
      <c r="S164" s="9" t="n"/>
    </row>
    <row r="165">
      <c r="A165" t="n">
        <v>177</v>
      </c>
      <c r="B165" s="8" t="n">
        <v>46190.83814814815</v>
      </c>
      <c r="C165" t="inlineStr">
        <is>
          <t>AGARWAL TRADERS</t>
        </is>
      </c>
      <c r="D165" t="inlineStr">
        <is>
          <t>FAREEDPUR</t>
        </is>
      </c>
      <c r="E165" t="inlineStr">
        <is>
          <t>UP25BT2915</t>
        </is>
      </c>
      <c r="F165">
        <f>IF(E165="","",XLOOKUP(E165,'Master Data'!$E$5:$E$15,'Master Data'!$F$5:$F$15,""))</f>
        <v/>
      </c>
      <c r="G165" t="n">
        <v>25</v>
      </c>
      <c r="H165" s="9" t="n">
        <v>223</v>
      </c>
      <c r="I165" s="9">
        <f>IF(OR(G165="",H165=""),"",G165*H165)</f>
        <v/>
      </c>
      <c r="J165" s="9" t="n">
        <v>2000</v>
      </c>
      <c r="K165" s="9" t="n">
        <v>1500</v>
      </c>
      <c r="L165" s="9">
        <f>IF(I165="","",I165-IF(J165="",0,J165)-IF(K165="",0,K165))</f>
        <v/>
      </c>
      <c r="M165" s="9">
        <f>IF(E165="","",XLOOKUP(E165,'Master Data'!$E$5:$E$15,'Master Data'!$G$5:$G$15,0))</f>
        <v/>
      </c>
      <c r="N165" s="9">
        <f>IF(E165="","",XLOOKUP(E165,'Master Data'!$E$5:$E$15,'Master Data'!$H$5:$H$15,0))</f>
        <v/>
      </c>
      <c r="O165" s="9">
        <f>IF(L165="","",L165-M165-N165)</f>
        <v/>
      </c>
      <c r="Q165" t="inlineStr">
        <is>
          <t>10</t>
        </is>
      </c>
      <c r="S165" s="9" t="n"/>
    </row>
    <row r="166">
      <c r="A166" t="n">
        <v>174</v>
      </c>
      <c r="B166" s="8" t="n">
        <v>46191.0042824074</v>
      </c>
      <c r="C166" t="inlineStr">
        <is>
          <t>CHAMPA LAL GUPTA AND SONS</t>
        </is>
      </c>
      <c r="D166" t="inlineStr">
        <is>
          <t>UJHANI</t>
        </is>
      </c>
      <c r="E166" t="inlineStr">
        <is>
          <t>UP25CT3782</t>
        </is>
      </c>
      <c r="F166">
        <f>IF(E166="","",XLOOKUP(E166,'Master Data'!$E$5:$E$15,'Master Data'!$F$5:$F$15,""))</f>
        <v/>
      </c>
      <c r="G166" t="n">
        <v>7</v>
      </c>
      <c r="H166" s="9" t="n">
        <v>380</v>
      </c>
      <c r="I166" s="9">
        <f>IF(OR(G166="",H166=""),"",G166*H166)</f>
        <v/>
      </c>
      <c r="J166" s="9" t="n">
        <v>5000</v>
      </c>
      <c r="K166" s="9" t="n">
        <v>1500</v>
      </c>
      <c r="L166" s="9">
        <f>IF(I166="","",I166-IF(J166="",0,J166)-IF(K166="",0,K166))</f>
        <v/>
      </c>
      <c r="M166" s="9">
        <f>IF(E166="","",XLOOKUP(E166,'Master Data'!$E$5:$E$15,'Master Data'!$G$5:$G$15,0))</f>
        <v/>
      </c>
      <c r="N166" s="9">
        <f>IF(E166="","",XLOOKUP(E166,'Master Data'!$E$5:$E$15,'Master Data'!$H$5:$H$15,0))</f>
        <v/>
      </c>
      <c r="O166" s="9">
        <f>IF(L166="","",L166-M166-N166)</f>
        <v/>
      </c>
      <c r="Q166" t="inlineStr">
        <is>
          <t>9 EPOD</t>
        </is>
      </c>
      <c r="S166" s="9" t="n"/>
    </row>
    <row r="167">
      <c r="A167" t="n">
        <v>173</v>
      </c>
      <c r="B167" s="8" t="n">
        <v>46191.00478009259</v>
      </c>
      <c r="C167" t="inlineStr">
        <is>
          <t>CHAMPA LAL GUPTA AND SONS</t>
        </is>
      </c>
      <c r="D167" t="inlineStr">
        <is>
          <t>UJHANI</t>
        </is>
      </c>
      <c r="E167" t="inlineStr">
        <is>
          <t>UP25CT3782</t>
        </is>
      </c>
      <c r="F167">
        <f>IF(E167="","",XLOOKUP(E167,'Master Data'!$E$5:$E$15,'Master Data'!$F$5:$F$15,""))</f>
        <v/>
      </c>
      <c r="G167" t="n">
        <v>18</v>
      </c>
      <c r="H167" s="9" t="n">
        <v>380</v>
      </c>
      <c r="I167" s="9">
        <f>IF(OR(G167="",H167=""),"",G167*H167)</f>
        <v/>
      </c>
      <c r="J167" s="9" t="n"/>
      <c r="K167" s="9" t="n"/>
      <c r="L167" s="9">
        <f>IF(I167="","",I167-IF(J167="",0,J167)-IF(K167="",0,K167))</f>
        <v/>
      </c>
      <c r="M167" s="9">
        <f>IF(E167="","",XLOOKUP(E167,'Master Data'!$E$5:$E$15,'Master Data'!$G$5:$G$15,0))</f>
        <v/>
      </c>
      <c r="N167" s="9">
        <f>IF(E167="","",XLOOKUP(E167,'Master Data'!$E$5:$E$15,'Master Data'!$H$5:$H$15,0))</f>
        <v/>
      </c>
      <c r="O167" s="9">
        <f>IF(L167="","",L167-M167-N167)</f>
        <v/>
      </c>
      <c r="Q167" t="inlineStr">
        <is>
          <t>9 EPOD</t>
        </is>
      </c>
      <c r="S167" s="9" t="n"/>
    </row>
    <row r="168">
      <c r="A168" t="n">
        <v>176</v>
      </c>
      <c r="B168" s="8" t="n">
        <v>46190.83788194445</v>
      </c>
      <c r="C168" t="inlineStr">
        <is>
          <t>GAFFAR CEMENT STORE</t>
        </is>
      </c>
      <c r="D168" t="inlineStr">
        <is>
          <t>SHAHBAD (HARDOI)</t>
        </is>
      </c>
      <c r="E168" t="inlineStr">
        <is>
          <t>UP26T1707</t>
        </is>
      </c>
      <c r="F168">
        <f>IF(E168="","",XLOOKUP(E168,'Master Data'!$E$5:$E$15,'Master Data'!$F$5:$F$15,""))</f>
        <v/>
      </c>
      <c r="G168" t="n">
        <v>5</v>
      </c>
      <c r="H168" s="9" t="n">
        <v>325</v>
      </c>
      <c r="I168" s="9">
        <f>IF(OR(G168="",H168=""),"",G168*H168)</f>
        <v/>
      </c>
      <c r="J168" s="9" t="n"/>
      <c r="K168" s="9" t="n"/>
      <c r="L168" s="9">
        <f>IF(I168="","",I168-IF(J168="",0,J168)-IF(K168="",0,K168))</f>
        <v/>
      </c>
      <c r="M168" s="9">
        <f>IF(E168="","",XLOOKUP(E168,'Master Data'!$E$5:$E$15,'Master Data'!$G$5:$G$15,0))</f>
        <v/>
      </c>
      <c r="N168" s="9">
        <f>IF(E168="","",XLOOKUP(E168,'Master Data'!$E$5:$E$15,'Master Data'!$H$5:$H$15,0))</f>
        <v/>
      </c>
      <c r="O168" s="9">
        <f>IF(L168="","",L168-M168-N168)</f>
        <v/>
      </c>
      <c r="Q168" t="inlineStr">
        <is>
          <t>6</t>
        </is>
      </c>
      <c r="S168" s="9" t="n"/>
    </row>
    <row r="169">
      <c r="A169" t="n">
        <v>175</v>
      </c>
      <c r="B169" s="8" t="n">
        <v>46190.83760416666</v>
      </c>
      <c r="C169" t="inlineStr">
        <is>
          <t>GAFFAR CEMENT STORE</t>
        </is>
      </c>
      <c r="D169" t="inlineStr">
        <is>
          <t>SHAHBAD (HARDOI)</t>
        </is>
      </c>
      <c r="E169" t="inlineStr">
        <is>
          <t>UP26T1707</t>
        </is>
      </c>
      <c r="F169">
        <f>IF(E169="","",XLOOKUP(E169,'Master Data'!$E$5:$E$15,'Master Data'!$F$5:$F$15,""))</f>
        <v/>
      </c>
      <c r="G169" t="n">
        <v>20</v>
      </c>
      <c r="H169" s="9" t="n">
        <v>325</v>
      </c>
      <c r="I169" s="9">
        <f>IF(OR(G169="",H169=""),"",G169*H169)</f>
        <v/>
      </c>
      <c r="J169" s="9" t="n">
        <v>4000</v>
      </c>
      <c r="K169" s="9" t="n">
        <v>2000</v>
      </c>
      <c r="L169" s="9">
        <f>IF(I169="","",I169-IF(J169="",0,J169)-IF(K169="",0,K169))</f>
        <v/>
      </c>
      <c r="M169" s="9">
        <f>IF(E169="","",XLOOKUP(E169,'Master Data'!$E$5:$E$15,'Master Data'!$G$5:$G$15,0))</f>
        <v/>
      </c>
      <c r="N169" s="9">
        <f>IF(E169="","",XLOOKUP(E169,'Master Data'!$E$5:$E$15,'Master Data'!$H$5:$H$15,0))</f>
        <v/>
      </c>
      <c r="O169" s="9">
        <f>IF(L169="","",L169-M169-N169)</f>
        <v/>
      </c>
      <c r="Q169" t="inlineStr">
        <is>
          <t>6</t>
        </is>
      </c>
      <c r="S169" s="9" t="n"/>
    </row>
    <row r="170">
      <c r="A170" t="n">
        <v>178</v>
      </c>
      <c r="B170" s="8" t="n">
        <v>46190.79636574074</v>
      </c>
      <c r="C170" t="inlineStr">
        <is>
          <t>ALOK TRADERS</t>
        </is>
      </c>
      <c r="D170" t="inlineStr">
        <is>
          <t>NARAIN NAGLA</t>
        </is>
      </c>
      <c r="E170" t="inlineStr">
        <is>
          <t>UP25CT2572</t>
        </is>
      </c>
      <c r="F170">
        <f>IF(E170="","",XLOOKUP(E170,'Master Data'!$E$5:$E$15,'Master Data'!$F$5:$F$15,""))</f>
        <v/>
      </c>
      <c r="G170" t="n">
        <v>20</v>
      </c>
      <c r="H170" s="9" t="n">
        <v>535</v>
      </c>
      <c r="I170" s="9">
        <f>IF(OR(G170="",H170=""),"",G170*H170)</f>
        <v/>
      </c>
      <c r="J170" s="9" t="n">
        <v>10000</v>
      </c>
      <c r="K170" s="9" t="n">
        <v>3000</v>
      </c>
      <c r="L170" s="9">
        <f>IF(I170="","",I170-IF(J170="",0,J170)-IF(K170="",0,K170))</f>
        <v/>
      </c>
      <c r="M170" s="9">
        <f>IF(E170="","",XLOOKUP(E170,'Master Data'!$E$5:$E$15,'Master Data'!$G$5:$G$15,0))</f>
        <v/>
      </c>
      <c r="N170" s="9">
        <f>IF(E170="","",XLOOKUP(E170,'Master Data'!$E$5:$E$15,'Master Data'!$H$5:$H$15,0))</f>
        <v/>
      </c>
      <c r="O170" s="9">
        <f>IF(L170="","",L170-M170-N170)</f>
        <v/>
      </c>
      <c r="Q170" t="inlineStr">
        <is>
          <t>7 EPOD</t>
        </is>
      </c>
      <c r="S170" s="9" t="n"/>
    </row>
    <row r="171">
      <c r="A171" t="n">
        <v>179</v>
      </c>
      <c r="B171" s="8" t="n">
        <v>46190.79607638889</v>
      </c>
      <c r="C171" t="inlineStr">
        <is>
          <t>ALOK TRADERS</t>
        </is>
      </c>
      <c r="D171" t="inlineStr">
        <is>
          <t>NARAIN NAGLA</t>
        </is>
      </c>
      <c r="E171" t="inlineStr">
        <is>
          <t>UP25CT2572</t>
        </is>
      </c>
      <c r="F171">
        <f>IF(E171="","",XLOOKUP(E171,'Master Data'!$E$5:$E$15,'Master Data'!$F$5:$F$15,""))</f>
        <v/>
      </c>
      <c r="G171" t="n">
        <v>5</v>
      </c>
      <c r="H171" s="9" t="n">
        <v>535</v>
      </c>
      <c r="I171" s="9">
        <f>IF(OR(G171="",H171=""),"",G171*H171)</f>
        <v/>
      </c>
      <c r="J171" s="9" t="n"/>
      <c r="K171" s="9" t="n"/>
      <c r="L171" s="9">
        <f>IF(I171="","",I171-IF(J171="",0,J171)-IF(K171="",0,K171))</f>
        <v/>
      </c>
      <c r="M171" s="9">
        <f>IF(E171="","",XLOOKUP(E171,'Master Data'!$E$5:$E$15,'Master Data'!$G$5:$G$15,0))</f>
        <v/>
      </c>
      <c r="N171" s="9">
        <f>IF(E171="","",XLOOKUP(E171,'Master Data'!$E$5:$E$15,'Master Data'!$H$5:$H$15,0))</f>
        <v/>
      </c>
      <c r="O171" s="9">
        <f>IF(L171="","",L171-M171-N171)</f>
        <v/>
      </c>
      <c r="Q171" t="inlineStr">
        <is>
          <t>7 EPOD</t>
        </is>
      </c>
      <c r="S171" s="9" t="n"/>
    </row>
    <row r="172">
      <c r="A172" t="n">
        <v>180</v>
      </c>
      <c r="B172" s="8" t="n">
        <v>46190.79586805555</v>
      </c>
      <c r="C172" t="inlineStr">
        <is>
          <t>GAFFAR CEMENT STORE</t>
        </is>
      </c>
      <c r="D172" t="inlineStr">
        <is>
          <t>TANDIYAWAN</t>
        </is>
      </c>
      <c r="E172" t="inlineStr">
        <is>
          <t>UP22T5165</t>
        </is>
      </c>
      <c r="F172">
        <f>IF(E172="","",XLOOKUP(E172,'Master Data'!$E$5:$E$15,'Master Data'!$F$5:$F$15,""))</f>
        <v/>
      </c>
      <c r="G172" t="n">
        <v>20</v>
      </c>
      <c r="H172" s="9" t="n">
        <v>490</v>
      </c>
      <c r="I172" s="9">
        <f>IF(OR(G172="",H172=""),"",G172*H172)</f>
        <v/>
      </c>
      <c r="J172" s="9" t="n">
        <v>6000</v>
      </c>
      <c r="K172" s="9" t="n">
        <v>1500</v>
      </c>
      <c r="L172" s="9">
        <f>IF(I172="","",I172-IF(J172="",0,J172)-IF(K172="",0,K172))</f>
        <v/>
      </c>
      <c r="M172" s="9">
        <f>IF(E172="","",XLOOKUP(E172,'Master Data'!$E$5:$E$15,'Master Data'!$G$5:$G$15,0))</f>
        <v/>
      </c>
      <c r="N172" s="9">
        <f>IF(E172="","",XLOOKUP(E172,'Master Data'!$E$5:$E$15,'Master Data'!$H$5:$H$15,0))</f>
        <v/>
      </c>
      <c r="O172" s="9">
        <f>IF(L172="","",L172-M172-N172)</f>
        <v/>
      </c>
      <c r="P172" t="inlineStr">
        <is>
          <t>YES</t>
        </is>
      </c>
      <c r="Q172" t="inlineStr">
        <is>
          <t>8 EPOD</t>
        </is>
      </c>
      <c r="S172" s="9" t="n"/>
    </row>
    <row r="173">
      <c r="A173" t="n">
        <v>181</v>
      </c>
      <c r="B173" s="8" t="n">
        <v>46190.79615740741</v>
      </c>
      <c r="C173" t="inlineStr">
        <is>
          <t>GAFFAR CEMENT STORE</t>
        </is>
      </c>
      <c r="D173" t="inlineStr">
        <is>
          <t>TANDIYAWAN</t>
        </is>
      </c>
      <c r="E173" t="inlineStr">
        <is>
          <t>UP22T5165</t>
        </is>
      </c>
      <c r="F173">
        <f>IF(E173="","",XLOOKUP(E173,'Master Data'!$E$5:$E$15,'Master Data'!$F$5:$F$15,""))</f>
        <v/>
      </c>
      <c r="G173" t="n">
        <v>5</v>
      </c>
      <c r="H173" s="9" t="n">
        <v>490</v>
      </c>
      <c r="I173" s="9">
        <f>IF(OR(G173="",H173=""),"",G173*H173)</f>
        <v/>
      </c>
      <c r="J173" s="9" t="n"/>
      <c r="K173" s="9" t="n"/>
      <c r="L173" s="9">
        <f>IF(I173="","",I173-IF(J173="",0,J173)-IF(K173="",0,K173))</f>
        <v/>
      </c>
      <c r="M173" s="9">
        <f>IF(E173="","",XLOOKUP(E173,'Master Data'!$E$5:$E$15,'Master Data'!$G$5:$G$15,0))</f>
        <v/>
      </c>
      <c r="N173" s="9">
        <f>IF(E173="","",XLOOKUP(E173,'Master Data'!$E$5:$E$15,'Master Data'!$H$5:$H$15,0))</f>
        <v/>
      </c>
      <c r="O173" s="9">
        <f>IF(L173="","",L173-M173-N173)</f>
        <v/>
      </c>
      <c r="Q173" t="inlineStr">
        <is>
          <t>8 EPOD</t>
        </is>
      </c>
      <c r="S173" s="9" t="n"/>
    </row>
    <row r="174">
      <c r="A174" t="n">
        <v>182</v>
      </c>
      <c r="B174" s="8" t="n">
        <v>46190.87931712963</v>
      </c>
      <c r="C174" t="inlineStr">
        <is>
          <t>S M ENTERPRISES-SIS</t>
        </is>
      </c>
      <c r="D174" t="inlineStr">
        <is>
          <t>PALIYA KALAN</t>
        </is>
      </c>
      <c r="E174" t="inlineStr">
        <is>
          <t>UP25CT7099</t>
        </is>
      </c>
      <c r="F174">
        <f>IF(E174="","",XLOOKUP(E174,'Master Data'!$E$5:$E$15,'Master Data'!$F$5:$F$15,""))</f>
        <v/>
      </c>
      <c r="G174" t="n">
        <v>30</v>
      </c>
      <c r="H174" s="9" t="n">
        <v>486</v>
      </c>
      <c r="I174" s="9">
        <f>IF(OR(G174="",H174=""),"",G174*H174)</f>
        <v/>
      </c>
      <c r="J174" s="9" t="n">
        <v>5000</v>
      </c>
      <c r="K174" s="9" t="n">
        <v>3000</v>
      </c>
      <c r="L174" s="9">
        <f>IF(I174="","",I174-IF(J174="",0,J174)-IF(K174="",0,K174))</f>
        <v/>
      </c>
      <c r="M174" s="9">
        <f>IF(E174="","",XLOOKUP(E174,'Master Data'!$E$5:$E$15,'Master Data'!$G$5:$G$15,0))</f>
        <v/>
      </c>
      <c r="N174" s="9">
        <f>IF(E174="","",XLOOKUP(E174,'Master Data'!$E$5:$E$15,'Master Data'!$H$5:$H$15,0))</f>
        <v/>
      </c>
      <c r="O174" s="9">
        <f>IF(L174="","",L174-M174-N174)</f>
        <v/>
      </c>
      <c r="Q174" t="inlineStr">
        <is>
          <t>8 EPOD</t>
        </is>
      </c>
      <c r="S174" s="9" t="n"/>
    </row>
    <row r="175">
      <c r="A175" t="n">
        <v>183</v>
      </c>
      <c r="B175" s="8" t="n">
        <v>46191.08770833333</v>
      </c>
      <c r="C175" t="inlineStr">
        <is>
          <t>BHARAT FERTILIZERS (SIS)</t>
        </is>
      </c>
      <c r="D175" t="inlineStr">
        <is>
          <t>KATRA</t>
        </is>
      </c>
      <c r="E175" t="inlineStr">
        <is>
          <t>UP25JT8804</t>
        </is>
      </c>
      <c r="F175">
        <f>IF(E175="","",XLOOKUP(E175,'Master Data'!$E$5:$E$15,'Master Data'!$F$5:$F$15,""))</f>
        <v/>
      </c>
      <c r="G175" t="n">
        <v>13</v>
      </c>
      <c r="H175" s="9" t="n">
        <v>225</v>
      </c>
      <c r="I175" s="9">
        <f>IF(OR(G175="",H175=""),"",G175*H175)</f>
        <v/>
      </c>
      <c r="J175" s="9" t="n">
        <v>2000</v>
      </c>
      <c r="K175" s="9" t="n">
        <v>1000</v>
      </c>
      <c r="L175" s="9">
        <f>IF(I175="","",I175-IF(J175="",0,J175)-IF(K175="",0,K175))</f>
        <v/>
      </c>
      <c r="M175" s="9">
        <f>IF(E175="","",XLOOKUP(E175,'Master Data'!$E$5:$E$15,'Master Data'!$G$5:$G$15,0))</f>
        <v/>
      </c>
      <c r="N175" s="9">
        <f>IF(E175="","",XLOOKUP(E175,'Master Data'!$E$5:$E$15,'Master Data'!$H$5:$H$15,0))</f>
        <v/>
      </c>
      <c r="O175" s="9">
        <f>IF(L175="","",L175-M175-N175)</f>
        <v/>
      </c>
      <c r="Q175" t="inlineStr">
        <is>
          <t>8 EPOD</t>
        </is>
      </c>
      <c r="S175" s="9" t="n"/>
    </row>
    <row r="176">
      <c r="A176" t="n">
        <v>184</v>
      </c>
      <c r="B176" s="8" t="n">
        <v>46191.00447916667</v>
      </c>
      <c r="C176" t="inlineStr">
        <is>
          <t>BHARAT FERTILIZERS (SIS)</t>
        </is>
      </c>
      <c r="D176" t="inlineStr">
        <is>
          <t>POWAYAN</t>
        </is>
      </c>
      <c r="E176" t="inlineStr">
        <is>
          <t>UP25JT8803</t>
        </is>
      </c>
      <c r="F176">
        <f>IF(E176="","",XLOOKUP(E176,'Master Data'!$E$5:$E$15,'Master Data'!$F$5:$F$15,""))</f>
        <v/>
      </c>
      <c r="G176" t="n">
        <v>13</v>
      </c>
      <c r="H176" s="9" t="n">
        <v>454</v>
      </c>
      <c r="I176" s="9">
        <f>IF(OR(G176="",H176=""),"",G176*H176)</f>
        <v/>
      </c>
      <c r="J176" s="9" t="n">
        <v>2000</v>
      </c>
      <c r="K176" s="9" t="n">
        <v>1000</v>
      </c>
      <c r="L176" s="9">
        <f>IF(I176="","",I176-IF(J176="",0,J176)-IF(K176="",0,K176))</f>
        <v/>
      </c>
      <c r="M176" s="9">
        <f>IF(E176="","",XLOOKUP(E176,'Master Data'!$E$5:$E$15,'Master Data'!$G$5:$G$15,0))</f>
        <v/>
      </c>
      <c r="N176" s="9">
        <f>IF(E176="","",XLOOKUP(E176,'Master Data'!$E$5:$E$15,'Master Data'!$H$5:$H$15,0))</f>
        <v/>
      </c>
      <c r="O176" s="9">
        <f>IF(L176="","",L176-M176-N176)</f>
        <v/>
      </c>
      <c r="Q176" t="inlineStr">
        <is>
          <t>8 EPOD</t>
        </is>
      </c>
      <c r="S176" s="9" t="n"/>
    </row>
    <row r="177">
      <c r="A177" t="n">
        <v>185</v>
      </c>
      <c r="B177" s="8" t="n">
        <v>46191.62934027778</v>
      </c>
      <c r="C177" t="inlineStr">
        <is>
          <t>SUPPRIOR IRON STORE</t>
        </is>
      </c>
      <c r="D177" t="inlineStr">
        <is>
          <t>MATHURAPUR</t>
        </is>
      </c>
      <c r="E177" t="inlineStr">
        <is>
          <t>UP25CT4514</t>
        </is>
      </c>
      <c r="F177">
        <f>IF(E177="","",XLOOKUP(E177,'Master Data'!$E$5:$E$15,'Master Data'!$F$5:$F$15,""))</f>
        <v/>
      </c>
      <c r="G177" t="n">
        <v>20</v>
      </c>
      <c r="H177" s="9" t="n">
        <v>325</v>
      </c>
      <c r="I177" s="9">
        <f>IF(OR(G177="",H177=""),"",G177*H177)</f>
        <v/>
      </c>
      <c r="J177" s="9" t="n">
        <v>2000</v>
      </c>
      <c r="K177" s="9" t="n">
        <v>5000</v>
      </c>
      <c r="L177" s="9">
        <f>IF(I177="","",I177-IF(J177="",0,J177)-IF(K177="",0,K177))</f>
        <v/>
      </c>
      <c r="M177" s="9">
        <f>IF(E177="","",XLOOKUP(E177,'Master Data'!$E$5:$E$15,'Master Data'!$G$5:$G$15,0))</f>
        <v/>
      </c>
      <c r="N177" s="9">
        <f>IF(E177="","",XLOOKUP(E177,'Master Data'!$E$5:$E$15,'Master Data'!$H$5:$H$15,0))</f>
        <v/>
      </c>
      <c r="O177" s="9">
        <f>IF(L177="","",L177-M177-N177)</f>
        <v/>
      </c>
      <c r="Q177" t="inlineStr">
        <is>
          <t>11</t>
        </is>
      </c>
      <c r="S177" s="9" t="n"/>
    </row>
    <row r="178">
      <c r="A178" t="n">
        <v>186</v>
      </c>
      <c r="B178" s="8" t="n">
        <v>46191.62967592593</v>
      </c>
      <c r="C178" t="inlineStr">
        <is>
          <t>OM TRIDEV ENTERPRISES</t>
        </is>
      </c>
      <c r="D178" t="inlineStr">
        <is>
          <t>BAREILLY</t>
        </is>
      </c>
      <c r="E178" t="inlineStr">
        <is>
          <t>UP25CT4514</t>
        </is>
      </c>
      <c r="F178">
        <f>IF(E178="","",XLOOKUP(E178,'Master Data'!$E$5:$E$15,'Master Data'!$F$5:$F$15,""))</f>
        <v/>
      </c>
      <c r="G178" t="n">
        <v>5</v>
      </c>
      <c r="H178" s="9" t="n">
        <v>336</v>
      </c>
      <c r="I178" s="9">
        <f>IF(OR(G178="",H178=""),"",G178*H178)</f>
        <v/>
      </c>
      <c r="J178" s="9" t="n"/>
      <c r="K178" s="9" t="n"/>
      <c r="L178" s="9">
        <f>IF(I178="","",I178-IF(J178="",0,J178)-IF(K178="",0,K178))</f>
        <v/>
      </c>
      <c r="M178" s="9">
        <f>IF(E178="","",XLOOKUP(E178,'Master Data'!$E$5:$E$15,'Master Data'!$G$5:$G$15,0))</f>
        <v/>
      </c>
      <c r="N178" s="9">
        <f>IF(E178="","",XLOOKUP(E178,'Master Data'!$E$5:$E$15,'Master Data'!$H$5:$H$15,0))</f>
        <v/>
      </c>
      <c r="O178" s="9">
        <f>IF(L178="","",L178-M178-N178)</f>
        <v/>
      </c>
      <c r="Q178" t="inlineStr">
        <is>
          <t>11</t>
        </is>
      </c>
      <c r="S178" s="9" t="n"/>
    </row>
    <row r="179">
      <c r="A179" t="n">
        <v>187</v>
      </c>
      <c r="B179" s="8" t="n">
        <v>46191.67122685185</v>
      </c>
      <c r="C179" t="inlineStr">
        <is>
          <t>SAGAR TRADERS</t>
        </is>
      </c>
      <c r="D179" t="inlineStr">
        <is>
          <t>NAHIL KHAS</t>
        </is>
      </c>
      <c r="E179" t="inlineStr">
        <is>
          <t>UP27AT5718</t>
        </is>
      </c>
      <c r="F179">
        <f>IF(E179="","",XLOOKUP(E179,'Master Data'!$E$5:$E$15,'Master Data'!$F$5:$F$15,""))</f>
        <v/>
      </c>
      <c r="G179" t="n">
        <v>20</v>
      </c>
      <c r="H179" s="9" t="n">
        <v>379</v>
      </c>
      <c r="I179" s="9">
        <f>IF(OR(G179="",H179=""),"",G179*H179)</f>
        <v/>
      </c>
      <c r="J179" s="9" t="n"/>
      <c r="K179" s="9" t="n">
        <v>6000</v>
      </c>
      <c r="L179" s="9">
        <f>IF(I179="","",I179-IF(J179="",0,J179)-IF(K179="",0,K179))</f>
        <v/>
      </c>
      <c r="M179" s="9">
        <f>IF(E179="","",XLOOKUP(E179,'Master Data'!$E$5:$E$15,'Master Data'!$G$5:$G$15,0))</f>
        <v/>
      </c>
      <c r="N179" s="9">
        <f>IF(E179="","",XLOOKUP(E179,'Master Data'!$E$5:$E$15,'Master Data'!$H$5:$H$15,0))</f>
        <v/>
      </c>
      <c r="O179" s="9">
        <f>IF(L179="","",L179-M179-N179)</f>
        <v/>
      </c>
      <c r="Q179" t="inlineStr">
        <is>
          <t>11</t>
        </is>
      </c>
      <c r="S179" s="9" t="n"/>
    </row>
    <row r="180">
      <c r="A180" t="n">
        <v>188</v>
      </c>
      <c r="B180" s="8" t="n">
        <v>46191.92096064815</v>
      </c>
      <c r="C180" t="inlineStr">
        <is>
          <t>CEMENT HOUSE</t>
        </is>
      </c>
      <c r="D180" t="inlineStr">
        <is>
          <t>BAREILLY</t>
        </is>
      </c>
      <c r="E180" t="inlineStr">
        <is>
          <t>UP25AT3048</t>
        </is>
      </c>
      <c r="F180">
        <f>IF(E180="","",XLOOKUP(E180,'Master Data'!$E$5:$E$15,'Master Data'!$F$5:$F$15,""))</f>
        <v/>
      </c>
      <c r="G180" t="n">
        <v>20</v>
      </c>
      <c r="H180" s="9" t="n">
        <v>333</v>
      </c>
      <c r="I180" s="9">
        <f>IF(OR(G180="",H180=""),"",G180*H180)</f>
        <v/>
      </c>
      <c r="J180" s="9" t="n">
        <v>3000</v>
      </c>
      <c r="K180" s="9" t="n">
        <v>1000</v>
      </c>
      <c r="L180" s="9">
        <f>IF(I180="","",I180-IF(J180="",0,J180)-IF(K180="",0,K180))</f>
        <v/>
      </c>
      <c r="M180" s="9">
        <f>IF(E180="","",XLOOKUP(E180,'Master Data'!$E$5:$E$15,'Master Data'!$G$5:$G$15,0))</f>
        <v/>
      </c>
      <c r="N180" s="9">
        <f>IF(E180="","",XLOOKUP(E180,'Master Data'!$E$5:$E$15,'Master Data'!$H$5:$H$15,0))</f>
        <v/>
      </c>
      <c r="O180" s="9">
        <f>IF(L180="","",L180-M180-N180)</f>
        <v/>
      </c>
      <c r="Q180" t="inlineStr">
        <is>
          <t>11</t>
        </is>
      </c>
      <c r="S180" s="9" t="n"/>
    </row>
    <row r="181">
      <c r="A181" t="n">
        <v>189</v>
      </c>
      <c r="B181" s="8" t="n">
        <v>46191.92086805555</v>
      </c>
      <c r="C181" t="inlineStr">
        <is>
          <t>AMAN CEMENT STORE</t>
        </is>
      </c>
      <c r="D181" t="inlineStr">
        <is>
          <t>SAINTHAL</t>
        </is>
      </c>
      <c r="E181" t="inlineStr">
        <is>
          <t>UP27BT0595</t>
        </is>
      </c>
      <c r="F181">
        <f>IF(E181="","",XLOOKUP(E181,'Master Data'!$E$5:$E$15,'Master Data'!$F$5:$F$15,""))</f>
        <v/>
      </c>
      <c r="G181" t="n">
        <v>7.5</v>
      </c>
      <c r="H181" s="9" t="n">
        <v>356</v>
      </c>
      <c r="I181" s="9">
        <f>IF(OR(G181="",H181=""),"",G181*H181)</f>
        <v/>
      </c>
      <c r="J181" s="9" t="n"/>
      <c r="K181" s="9" t="n">
        <v>6000</v>
      </c>
      <c r="L181" s="9">
        <f>IF(I181="","",I181-IF(J181="",0,J181)-IF(K181="",0,K181))</f>
        <v/>
      </c>
      <c r="M181" s="9">
        <f>IF(E181="","",XLOOKUP(E181,'Master Data'!$E$5:$E$15,'Master Data'!$G$5:$G$15,0))</f>
        <v/>
      </c>
      <c r="N181" s="9">
        <f>IF(E181="","",XLOOKUP(E181,'Master Data'!$E$5:$E$15,'Master Data'!$H$5:$H$15,0))</f>
        <v/>
      </c>
      <c r="O181" s="9">
        <f>IF(L181="","",L181-M181-N181)</f>
        <v/>
      </c>
      <c r="Q181" t="inlineStr">
        <is>
          <t>10</t>
        </is>
      </c>
      <c r="S181" s="9" t="n"/>
    </row>
    <row r="182">
      <c r="A182" t="n">
        <v>190</v>
      </c>
      <c r="B182" s="8" t="n">
        <v>46191.92090277778</v>
      </c>
      <c r="C182" t="inlineStr">
        <is>
          <t>AMAN CEMENT STORE</t>
        </is>
      </c>
      <c r="D182" t="inlineStr">
        <is>
          <t>NAWABGANJ</t>
        </is>
      </c>
      <c r="E182" t="inlineStr">
        <is>
          <t>UP27BT0595</t>
        </is>
      </c>
      <c r="F182">
        <f>IF(E182="","",XLOOKUP(E182,'Master Data'!$E$5:$E$15,'Master Data'!$F$5:$F$15,""))</f>
        <v/>
      </c>
      <c r="G182" t="n">
        <v>17.5</v>
      </c>
      <c r="H182" s="9" t="n">
        <v>356</v>
      </c>
      <c r="I182" s="9">
        <f>IF(OR(G182="",H182=""),"",G182*H182)</f>
        <v/>
      </c>
      <c r="J182" s="9" t="n"/>
      <c r="K182" s="9" t="n"/>
      <c r="L182" s="9">
        <f>IF(I182="","",I182-IF(J182="",0,J182)-IF(K182="",0,K182))</f>
        <v/>
      </c>
      <c r="M182" s="9">
        <f>IF(E182="","",XLOOKUP(E182,'Master Data'!$E$5:$E$15,'Master Data'!$G$5:$G$15,0))</f>
        <v/>
      </c>
      <c r="N182" s="9">
        <f>IF(E182="","",XLOOKUP(E182,'Master Data'!$E$5:$E$15,'Master Data'!$H$5:$H$15,0))</f>
        <v/>
      </c>
      <c r="O182" s="9">
        <f>IF(L182="","",L182-M182-N182)</f>
        <v/>
      </c>
      <c r="Q182" t="inlineStr">
        <is>
          <t>10</t>
        </is>
      </c>
      <c r="S182" s="9" t="n"/>
    </row>
    <row r="183">
      <c r="A183" t="n">
        <v>191</v>
      </c>
      <c r="B183" s="8" t="n">
        <v>46191.6709375</v>
      </c>
      <c r="C183" t="inlineStr">
        <is>
          <t>BHARAT FERTILIZERS (SIS)</t>
        </is>
      </c>
      <c r="D183" t="inlineStr">
        <is>
          <t>GARIARANGEEN</t>
        </is>
      </c>
      <c r="E183" t="inlineStr">
        <is>
          <t>UP25JT8804</t>
        </is>
      </c>
      <c r="F183">
        <f>IF(E183="","",XLOOKUP(E183,'Master Data'!$E$5:$E$15,'Master Data'!$F$5:$F$15,""))</f>
        <v/>
      </c>
      <c r="G183" t="n">
        <v>13</v>
      </c>
      <c r="H183" s="9" t="n">
        <v>368</v>
      </c>
      <c r="I183" s="9">
        <f>IF(OR(G183="",H183=""),"",G183*H183)</f>
        <v/>
      </c>
      <c r="J183" s="9" t="n">
        <v>2000</v>
      </c>
      <c r="K183" s="9" t="n">
        <v>1000</v>
      </c>
      <c r="L183" s="9">
        <f>IF(I183="","",I183-IF(J183="",0,J183)-IF(K183="",0,K183))</f>
        <v/>
      </c>
      <c r="M183" s="9">
        <f>IF(E183="","",XLOOKUP(E183,'Master Data'!$E$5:$E$15,'Master Data'!$G$5:$G$15,0))</f>
        <v/>
      </c>
      <c r="N183" s="9">
        <f>IF(E183="","",XLOOKUP(E183,'Master Data'!$E$5:$E$15,'Master Data'!$H$5:$H$15,0))</f>
        <v/>
      </c>
      <c r="O183" s="9">
        <f>IF(L183="","",L183-M183-N183)</f>
        <v/>
      </c>
      <c r="Q183" t="inlineStr">
        <is>
          <t>8 EPOD</t>
        </is>
      </c>
      <c r="S183" s="9" t="n"/>
    </row>
    <row r="184">
      <c r="A184" t="n">
        <v>193</v>
      </c>
      <c r="B184" s="8" t="n">
        <v>46192.00457175926</v>
      </c>
      <c r="C184" t="inlineStr">
        <is>
          <t>PRAKASH TRADING COMPANY</t>
        </is>
      </c>
      <c r="D184" t="inlineStr">
        <is>
          <t>BILGRAM</t>
        </is>
      </c>
      <c r="E184" t="inlineStr">
        <is>
          <t>UP25CT3782</t>
        </is>
      </c>
      <c r="F184">
        <f>IF(E184="","",XLOOKUP(E184,'Master Data'!$E$5:$E$15,'Master Data'!$F$5:$F$15,""))</f>
        <v/>
      </c>
      <c r="G184" t="n">
        <v>10</v>
      </c>
      <c r="H184" s="9" t="n">
        <v>475</v>
      </c>
      <c r="I184" s="9">
        <f>IF(OR(G184="",H184=""),"",G184*H184)</f>
        <v/>
      </c>
      <c r="J184" s="9" t="n"/>
      <c r="K184" s="9" t="n"/>
      <c r="L184" s="9">
        <f>IF(I184="","",I184-IF(J184="",0,J184)-IF(K184="",0,K184))</f>
        <v/>
      </c>
      <c r="M184" s="9">
        <f>IF(E184="","",XLOOKUP(E184,'Master Data'!$E$5:$E$15,'Master Data'!$G$5:$G$15,0))</f>
        <v/>
      </c>
      <c r="N184" s="9">
        <f>IF(E184="","",XLOOKUP(E184,'Master Data'!$E$5:$E$15,'Master Data'!$H$5:$H$15,0))</f>
        <v/>
      </c>
      <c r="O184" s="9">
        <f>IF(L184="","",L184-M184-N184)</f>
        <v/>
      </c>
      <c r="P184" t="inlineStr">
        <is>
          <t>YES</t>
        </is>
      </c>
      <c r="S184" s="9" t="n"/>
    </row>
    <row r="185">
      <c r="A185" t="n">
        <v>192</v>
      </c>
      <c r="B185" s="8" t="n">
        <v>46192.00436342593</v>
      </c>
      <c r="C185" t="inlineStr">
        <is>
          <t>PRAKASH TRADING COMPANY</t>
        </is>
      </c>
      <c r="D185" t="inlineStr">
        <is>
          <t>BILGRAM</t>
        </is>
      </c>
      <c r="E185" t="inlineStr">
        <is>
          <t>UP25CT3782</t>
        </is>
      </c>
      <c r="F185">
        <f>IF(E185="","",XLOOKUP(E185,'Master Data'!$E$5:$E$15,'Master Data'!$F$5:$F$15,""))</f>
        <v/>
      </c>
      <c r="G185" t="n">
        <v>15</v>
      </c>
      <c r="H185" s="9" t="n">
        <v>475</v>
      </c>
      <c r="I185" s="9">
        <f>IF(OR(G185="",H185=""),"",G185*H185)</f>
        <v/>
      </c>
      <c r="J185" s="9" t="n">
        <v>6000</v>
      </c>
      <c r="K185" s="9" t="n">
        <v>1500</v>
      </c>
      <c r="L185" s="9">
        <f>IF(I185="","",I185-IF(J185="",0,J185)-IF(K185="",0,K185))</f>
        <v/>
      </c>
      <c r="M185" s="9">
        <f>IF(E185="","",XLOOKUP(E185,'Master Data'!$E$5:$E$15,'Master Data'!$G$5:$G$15,0))</f>
        <v/>
      </c>
      <c r="N185" s="9">
        <f>IF(E185="","",XLOOKUP(E185,'Master Data'!$E$5:$E$15,'Master Data'!$H$5:$H$15,0))</f>
        <v/>
      </c>
      <c r="O185" s="9">
        <f>IF(L185="","",L185-M185-N185)</f>
        <v/>
      </c>
      <c r="P185" t="inlineStr">
        <is>
          <t>YES</t>
        </is>
      </c>
      <c r="S185" s="9" t="n"/>
    </row>
    <row r="186">
      <c r="A186" t="n">
        <v>194</v>
      </c>
      <c r="B186" s="8" t="n">
        <v>46191.96313657407</v>
      </c>
      <c r="C186" t="inlineStr">
        <is>
          <t>AGARWAL CEMENT AGENCIES</t>
        </is>
      </c>
      <c r="D186" t="inlineStr">
        <is>
          <t>MILAK</t>
        </is>
      </c>
      <c r="E186" t="inlineStr">
        <is>
          <t>UP25DT8397</t>
        </is>
      </c>
      <c r="F186">
        <f>IF(E186="","",XLOOKUP(E186,'Master Data'!$E$5:$E$15,'Master Data'!$F$5:$F$15,""))</f>
        <v/>
      </c>
      <c r="G186" t="n">
        <v>25</v>
      </c>
      <c r="H186" s="9" t="n">
        <v>431</v>
      </c>
      <c r="I186" s="9">
        <f>IF(OR(G186="",H186=""),"",G186*H186)</f>
        <v/>
      </c>
      <c r="J186" s="9" t="n">
        <v>6000</v>
      </c>
      <c r="K186" s="9" t="n">
        <v>1500</v>
      </c>
      <c r="L186" s="9">
        <f>IF(I186="","",I186-IF(J186="",0,J186)-IF(K186="",0,K186))</f>
        <v/>
      </c>
      <c r="M186" s="9">
        <f>IF(E186="","",XLOOKUP(E186,'Master Data'!$E$5:$E$15,'Master Data'!$G$5:$G$15,0))</f>
        <v/>
      </c>
      <c r="N186" s="9">
        <f>IF(E186="","",XLOOKUP(E186,'Master Data'!$E$5:$E$15,'Master Data'!$H$5:$H$15,0))</f>
        <v/>
      </c>
      <c r="O186" s="9">
        <f>IF(L186="","",L186-M186-N186)</f>
        <v/>
      </c>
      <c r="Q186" t="inlineStr">
        <is>
          <t>9 EPOD</t>
        </is>
      </c>
      <c r="S186" s="9" t="n"/>
    </row>
    <row r="187">
      <c r="A187" t="n">
        <v>195</v>
      </c>
      <c r="B187" s="8" t="n">
        <v>46192.5045949074</v>
      </c>
      <c r="C187" t="inlineStr">
        <is>
          <t>JAI GURDEV TRADERS</t>
        </is>
      </c>
      <c r="D187" t="inlineStr">
        <is>
          <t>SHAHBAD (HARDOI)</t>
        </is>
      </c>
      <c r="E187" t="inlineStr">
        <is>
          <t>UP25JT8802</t>
        </is>
      </c>
      <c r="F187">
        <f>IF(E187="","",XLOOKUP(E187,'Master Data'!$E$5:$E$15,'Master Data'!$F$5:$F$15,""))</f>
        <v/>
      </c>
      <c r="G187" t="n">
        <v>13</v>
      </c>
      <c r="H187" s="9" t="n">
        <v>445</v>
      </c>
      <c r="I187" s="9">
        <f>IF(OR(G187="",H187=""),"",G187*H187)</f>
        <v/>
      </c>
      <c r="J187" s="9" t="n"/>
      <c r="K187" s="9" t="n"/>
      <c r="L187" s="9">
        <f>IF(I187="","",I187-IF(J187="",0,J187)-IF(K187="",0,K187))</f>
        <v/>
      </c>
      <c r="M187" s="9">
        <f>IF(E187="","",XLOOKUP(E187,'Master Data'!$E$5:$E$15,'Master Data'!$G$5:$G$15,0))</f>
        <v/>
      </c>
      <c r="N187" s="9">
        <f>IF(E187="","",XLOOKUP(E187,'Master Data'!$E$5:$E$15,'Master Data'!$H$5:$H$15,0))</f>
        <v/>
      </c>
      <c r="O187" s="9">
        <f>IF(L187="","",L187-M187-N187)</f>
        <v/>
      </c>
      <c r="P187" t="inlineStr">
        <is>
          <t>YES</t>
        </is>
      </c>
      <c r="S187" s="9" t="n"/>
    </row>
    <row r="188">
      <c r="A188" t="n">
        <v>196</v>
      </c>
      <c r="B188" s="8" t="n">
        <v>46192.12936342593</v>
      </c>
      <c r="C188" t="inlineStr">
        <is>
          <t>KANNOUJIYA CEMENT CENTRE</t>
        </is>
      </c>
      <c r="D188" t="inlineStr">
        <is>
          <t>BAREILLY</t>
        </is>
      </c>
      <c r="E188" t="inlineStr">
        <is>
          <t>UP25CT2572</t>
        </is>
      </c>
      <c r="F188">
        <f>IF(E188="","",XLOOKUP(E188,'Master Data'!$E$5:$E$15,'Master Data'!$F$5:$F$15,""))</f>
        <v/>
      </c>
      <c r="G188" t="n">
        <v>25</v>
      </c>
      <c r="H188" s="9" t="n">
        <v>336</v>
      </c>
      <c r="I188" s="9">
        <f>IF(OR(G188="",H188=""),"",G188*H188)</f>
        <v/>
      </c>
      <c r="J188" s="9" t="n"/>
      <c r="K188" s="9" t="n"/>
      <c r="L188" s="9">
        <f>IF(I188="","",I188-IF(J188="",0,J188)-IF(K188="",0,K188))</f>
        <v/>
      </c>
      <c r="M188" s="9">
        <f>IF(E188="","",XLOOKUP(E188,'Master Data'!$E$5:$E$15,'Master Data'!$G$5:$G$15,0))</f>
        <v/>
      </c>
      <c r="N188" s="9">
        <f>IF(E188="","",XLOOKUP(E188,'Master Data'!$E$5:$E$15,'Master Data'!$H$5:$H$15,0))</f>
        <v/>
      </c>
      <c r="O188" s="9">
        <f>IF(L188="","",L188-M188-N188)</f>
        <v/>
      </c>
      <c r="P188" t="inlineStr">
        <is>
          <t>YES</t>
        </is>
      </c>
      <c r="Q188" t="inlineStr">
        <is>
          <t>11</t>
        </is>
      </c>
      <c r="S188" s="9" t="n"/>
    </row>
    <row r="189">
      <c r="A189" t="n">
        <v>197</v>
      </c>
      <c r="B189" s="8" t="n">
        <v>46192.25481481481</v>
      </c>
      <c r="C189" t="inlineStr">
        <is>
          <t>KANNOUJIYA ENTERPRISES</t>
        </is>
      </c>
      <c r="D189" t="inlineStr">
        <is>
          <t>BAREILLY</t>
        </is>
      </c>
      <c r="E189" t="inlineStr">
        <is>
          <t>UP26T1707</t>
        </is>
      </c>
      <c r="F189">
        <f>IF(E189="","",XLOOKUP(E189,'Master Data'!$E$5:$E$15,'Master Data'!$F$5:$F$15,""))</f>
        <v/>
      </c>
      <c r="G189" t="n">
        <v>25</v>
      </c>
      <c r="H189" s="9" t="n">
        <v>304</v>
      </c>
      <c r="I189" s="9">
        <f>IF(OR(G189="",H189=""),"",G189*H189)</f>
        <v/>
      </c>
      <c r="J189" s="9" t="n"/>
      <c r="K189" s="9" t="n"/>
      <c r="L189" s="9">
        <f>IF(I189="","",I189-IF(J189="",0,J189)-IF(K189="",0,K189))</f>
        <v/>
      </c>
      <c r="M189" s="9">
        <f>IF(E189="","",XLOOKUP(E189,'Master Data'!$E$5:$E$15,'Master Data'!$G$5:$G$15,0))</f>
        <v/>
      </c>
      <c r="N189" s="9">
        <f>IF(E189="","",XLOOKUP(E189,'Master Data'!$E$5:$E$15,'Master Data'!$H$5:$H$15,0))</f>
        <v/>
      </c>
      <c r="O189" s="9">
        <f>IF(L189="","",L189-M189-N189)</f>
        <v/>
      </c>
      <c r="Q189" t="inlineStr">
        <is>
          <t>8 EPOD</t>
        </is>
      </c>
      <c r="S189" s="9" t="n"/>
    </row>
    <row r="190">
      <c r="A190" t="n">
        <v>198</v>
      </c>
      <c r="B190" s="8" t="n">
        <v>46192.54607638889</v>
      </c>
      <c r="C190" t="inlineStr">
        <is>
          <t>GARG CEMENT STORE</t>
        </is>
      </c>
      <c r="D190" t="inlineStr">
        <is>
          <t>SINGHAI KALA</t>
        </is>
      </c>
      <c r="E190" t="inlineStr">
        <is>
          <t>UP25BT2915</t>
        </is>
      </c>
      <c r="F190">
        <f>IF(E190="","",XLOOKUP(E190,'Master Data'!$E$5:$E$15,'Master Data'!$F$5:$F$15,""))</f>
        <v/>
      </c>
      <c r="G190" t="n">
        <v>20</v>
      </c>
      <c r="H190" s="9" t="n">
        <v>269</v>
      </c>
      <c r="I190" s="9">
        <f>IF(OR(G190="",H190=""),"",G190*H190)</f>
        <v/>
      </c>
      <c r="J190" s="9" t="n"/>
      <c r="K190" s="9" t="n"/>
      <c r="L190" s="9">
        <f>IF(I190="","",I190-IF(J190="",0,J190)-IF(K190="",0,K190))</f>
        <v/>
      </c>
      <c r="M190" s="9">
        <f>IF(E190="","",XLOOKUP(E190,'Master Data'!$E$5:$E$15,'Master Data'!$G$5:$G$15,0))</f>
        <v/>
      </c>
      <c r="N190" s="9">
        <f>IF(E190="","",XLOOKUP(E190,'Master Data'!$E$5:$E$15,'Master Data'!$H$5:$H$15,0))</f>
        <v/>
      </c>
      <c r="O190" s="9">
        <f>IF(L190="","",L190-M190-N190)</f>
        <v/>
      </c>
      <c r="Q190" t="inlineStr">
        <is>
          <t>10</t>
        </is>
      </c>
      <c r="S190" s="9" t="n"/>
    </row>
    <row r="191">
      <c r="A191" t="n">
        <v>199</v>
      </c>
      <c r="B191" s="8" t="n">
        <v>46192.67113425926</v>
      </c>
      <c r="C191" t="inlineStr">
        <is>
          <t>TAMEER TRADERS</t>
        </is>
      </c>
      <c r="D191" t="inlineStr">
        <is>
          <t>SHAHJHANPUR</t>
        </is>
      </c>
      <c r="E191" t="inlineStr">
        <is>
          <t>UP25JT8803</t>
        </is>
      </c>
      <c r="F191">
        <f>IF(E191="","",XLOOKUP(E191,'Master Data'!$E$5:$E$15,'Master Data'!$F$5:$F$15,""))</f>
        <v/>
      </c>
      <c r="G191" t="n">
        <v>13</v>
      </c>
      <c r="H191" s="9" t="n">
        <v>448</v>
      </c>
      <c r="I191" s="9">
        <f>IF(OR(G191="",H191=""),"",G191*H191)</f>
        <v/>
      </c>
      <c r="J191" s="9" t="n"/>
      <c r="K191" s="9" t="n"/>
      <c r="L191" s="9">
        <f>IF(I191="","",I191-IF(J191="",0,J191)-IF(K191="",0,K191))</f>
        <v/>
      </c>
      <c r="M191" s="9">
        <f>IF(E191="","",XLOOKUP(E191,'Master Data'!$E$5:$E$15,'Master Data'!$G$5:$G$15,0))</f>
        <v/>
      </c>
      <c r="N191" s="9">
        <f>IF(E191="","",XLOOKUP(E191,'Master Data'!$E$5:$E$15,'Master Data'!$H$5:$H$15,0))</f>
        <v/>
      </c>
      <c r="O191" s="9">
        <f>IF(L191="","",L191-M191-N191)</f>
        <v/>
      </c>
      <c r="Q191" t="inlineStr">
        <is>
          <t>8 EPOD</t>
        </is>
      </c>
      <c r="S191" s="9" t="n"/>
    </row>
    <row r="192">
      <c r="A192" t="n">
        <v>200</v>
      </c>
      <c r="B192" s="8" t="n">
        <v>46192.79622685185</v>
      </c>
      <c r="C192" t="inlineStr">
        <is>
          <t>PRABAL TRADERS</t>
        </is>
      </c>
      <c r="D192" t="inlineStr">
        <is>
          <t>CHHIBRAMAU</t>
        </is>
      </c>
      <c r="E192" t="inlineStr">
        <is>
          <t>UP76K8251</t>
        </is>
      </c>
      <c r="F192">
        <f>IF(E192="","",XLOOKUP(E192,'Master Data'!$E$5:$E$15,'Master Data'!$F$5:$F$15,""))</f>
        <v/>
      </c>
      <c r="G192" t="n">
        <v>20</v>
      </c>
      <c r="H192" s="9" t="n">
        <v>438</v>
      </c>
      <c r="I192" s="9">
        <f>IF(OR(G192="",H192=""),"",G192*H192)</f>
        <v/>
      </c>
      <c r="J192" s="9" t="n"/>
      <c r="K192" s="9" t="n"/>
      <c r="L192" s="9">
        <f>IF(I192="","",I192-IF(J192="",0,J192)-IF(K192="",0,K192))</f>
        <v/>
      </c>
      <c r="M192" s="9">
        <f>IF(E192="","",XLOOKUP(E192,'Master Data'!$E$5:$E$15,'Master Data'!$G$5:$G$15,0))</f>
        <v/>
      </c>
      <c r="N192" s="9">
        <f>IF(E192="","",XLOOKUP(E192,'Master Data'!$E$5:$E$15,'Master Data'!$H$5:$H$15,0))</f>
        <v/>
      </c>
      <c r="O192" s="9">
        <f>IF(L192="","",L192-M192-N192)</f>
        <v/>
      </c>
      <c r="Q192" t="inlineStr">
        <is>
          <t>9 EPOD</t>
        </is>
      </c>
      <c r="S192" s="9" t="n"/>
    </row>
    <row r="193">
      <c r="A193" t="n">
        <v>201</v>
      </c>
      <c r="B193" s="8" t="n">
        <v>46192.79587962963</v>
      </c>
      <c r="C193" t="inlineStr">
        <is>
          <t>KANCHAN TRADERS</t>
        </is>
      </c>
      <c r="D193" t="inlineStr">
        <is>
          <t>CHHIBRAMAU</t>
        </is>
      </c>
      <c r="E193" t="inlineStr">
        <is>
          <t>UP76K8251</t>
        </is>
      </c>
      <c r="F193">
        <f>IF(E193="","",XLOOKUP(E193,'Master Data'!$E$5:$E$15,'Master Data'!$F$5:$F$15,""))</f>
        <v/>
      </c>
      <c r="G193" t="n">
        <v>10</v>
      </c>
      <c r="H193" s="9" t="n">
        <v>438</v>
      </c>
      <c r="I193" s="9">
        <f>IF(OR(G193="",H193=""),"",G193*H193)</f>
        <v/>
      </c>
      <c r="J193" s="9" t="n"/>
      <c r="K193" s="9" t="n"/>
      <c r="L193" s="9">
        <f>IF(I193="","",I193-IF(J193="",0,J193)-IF(K193="",0,K193))</f>
        <v/>
      </c>
      <c r="M193" s="9">
        <f>IF(E193="","",XLOOKUP(E193,'Master Data'!$E$5:$E$15,'Master Data'!$G$5:$G$15,0))</f>
        <v/>
      </c>
      <c r="N193" s="9">
        <f>IF(E193="","",XLOOKUP(E193,'Master Data'!$E$5:$E$15,'Master Data'!$H$5:$H$15,0))</f>
        <v/>
      </c>
      <c r="O193" s="9">
        <f>IF(L193="","",L193-M193-N193)</f>
        <v/>
      </c>
      <c r="S193" s="9" t="n"/>
    </row>
    <row r="194">
      <c r="A194" t="n">
        <v>202</v>
      </c>
      <c r="B194" s="8" t="n">
        <v>46192.67137731481</v>
      </c>
      <c r="C194" t="inlineStr">
        <is>
          <t>ALOK TRADERS</t>
        </is>
      </c>
      <c r="D194" t="inlineStr">
        <is>
          <t>RITHAURA</t>
        </is>
      </c>
      <c r="E194" t="inlineStr">
        <is>
          <t>UP27AT5718</t>
        </is>
      </c>
      <c r="F194">
        <f>IF(E194="","",XLOOKUP(E194,'Master Data'!$E$5:$E$15,'Master Data'!$F$5:$F$15,""))</f>
        <v/>
      </c>
      <c r="G194" t="n">
        <v>20</v>
      </c>
      <c r="H194" s="9" t="n">
        <v>349</v>
      </c>
      <c r="I194" s="9">
        <f>IF(OR(G194="",H194=""),"",G194*H194)</f>
        <v/>
      </c>
      <c r="J194" s="9" t="n"/>
      <c r="K194" s="9" t="n"/>
      <c r="L194" s="9">
        <f>IF(I194="","",I194-IF(J194="",0,J194)-IF(K194="",0,K194))</f>
        <v/>
      </c>
      <c r="M194" s="9">
        <f>IF(E194="","",XLOOKUP(E194,'Master Data'!$E$5:$E$15,'Master Data'!$G$5:$G$15,0))</f>
        <v/>
      </c>
      <c r="N194" s="9">
        <f>IF(E194="","",XLOOKUP(E194,'Master Data'!$E$5:$E$15,'Master Data'!$H$5:$H$15,0))</f>
        <v/>
      </c>
      <c r="O194" s="9">
        <f>IF(L194="","",L194-M194-N194)</f>
        <v/>
      </c>
      <c r="Q194" t="inlineStr">
        <is>
          <t>8 EPOD</t>
        </is>
      </c>
      <c r="S194" s="9" t="n"/>
    </row>
    <row r="195">
      <c r="A195" t="n">
        <v>203</v>
      </c>
      <c r="B195" s="8" t="n">
        <v>46192.75479166667</v>
      </c>
      <c r="C195" t="inlineStr">
        <is>
          <t>AL HIND ENTERPRISES</t>
        </is>
      </c>
      <c r="D195" t="inlineStr">
        <is>
          <t>PAREWA VAISHYA</t>
        </is>
      </c>
      <c r="E195" t="inlineStr">
        <is>
          <t>UP25AT3048</t>
        </is>
      </c>
      <c r="F195">
        <f>IF(E195="","",XLOOKUP(E195,'Master Data'!$E$5:$E$15,'Master Data'!$F$5:$F$15,""))</f>
        <v/>
      </c>
      <c r="G195" t="n">
        <v>20</v>
      </c>
      <c r="H195" s="9" t="n">
        <v>485</v>
      </c>
      <c r="I195" s="9">
        <f>IF(OR(G195="",H195=""),"",G195*H195)</f>
        <v/>
      </c>
      <c r="J195" s="9" t="n"/>
      <c r="K195" s="9" t="n"/>
      <c r="L195" s="9">
        <f>IF(I195="","",I195-IF(J195="",0,J195)-IF(K195="",0,K195))</f>
        <v/>
      </c>
      <c r="M195" s="9">
        <f>IF(E195="","",XLOOKUP(E195,'Master Data'!$E$5:$E$15,'Master Data'!$G$5:$G$15,0))</f>
        <v/>
      </c>
      <c r="N195" s="9">
        <f>IF(E195="","",XLOOKUP(E195,'Master Data'!$E$5:$E$15,'Master Data'!$H$5:$H$15,0))</f>
        <v/>
      </c>
      <c r="O195" s="9">
        <f>IF(L195="","",L195-M195-N195)</f>
        <v/>
      </c>
      <c r="Q195" t="inlineStr">
        <is>
          <t>11</t>
        </is>
      </c>
      <c r="S195" s="9" t="n"/>
    </row>
    <row r="196">
      <c r="A196" t="n">
        <v>204</v>
      </c>
      <c r="B196" s="8" t="n">
        <v>46192.71282407407</v>
      </c>
      <c r="C196" t="inlineStr">
        <is>
          <t>S S TRADERS AND SUPPLIERS</t>
        </is>
      </c>
      <c r="D196" t="inlineStr">
        <is>
          <t>FATEHGANJ WEST</t>
        </is>
      </c>
      <c r="E196" t="inlineStr">
        <is>
          <t>UP25BT7464</t>
        </is>
      </c>
      <c r="F196">
        <f>IF(E196="","",XLOOKUP(E196,'Master Data'!$E$5:$E$15,'Master Data'!$F$5:$F$15,""))</f>
        <v/>
      </c>
      <c r="G196" t="n">
        <v>30</v>
      </c>
      <c r="H196" s="9" t="n">
        <v>336</v>
      </c>
      <c r="I196" s="9">
        <f>IF(OR(G196="",H196=""),"",G196*H196)</f>
        <v/>
      </c>
      <c r="J196" s="9" t="n"/>
      <c r="K196" s="9" t="n"/>
      <c r="L196" s="9">
        <f>IF(I196="","",I196-IF(J196="",0,J196)-IF(K196="",0,K196))</f>
        <v/>
      </c>
      <c r="M196" s="9">
        <f>IF(E196="","",XLOOKUP(E196,'Master Data'!$E$5:$E$15,'Master Data'!$G$5:$G$15,0))</f>
        <v/>
      </c>
      <c r="N196" s="9">
        <f>IF(E196="","",XLOOKUP(E196,'Master Data'!$E$5:$E$15,'Master Data'!$H$5:$H$15,0))</f>
        <v/>
      </c>
      <c r="O196" s="9">
        <f>IF(L196="","",L196-M196-N196)</f>
        <v/>
      </c>
      <c r="Q196" t="inlineStr">
        <is>
          <t>8 EPOD</t>
        </is>
      </c>
      <c r="S196" s="9" t="n"/>
    </row>
    <row r="197">
      <c r="A197" t="n">
        <v>205</v>
      </c>
      <c r="B197" s="8" t="n">
        <v>46192.67107638889</v>
      </c>
      <c r="C197" t="inlineStr">
        <is>
          <t>SHIVAM STEELS</t>
        </is>
      </c>
      <c r="D197" t="inlineStr">
        <is>
          <t>ALAPUR</t>
        </is>
      </c>
      <c r="E197" t="inlineStr">
        <is>
          <t>UP27BT0595</t>
        </is>
      </c>
      <c r="F197">
        <f>IF(E197="","",XLOOKUP(E197,'Master Data'!$E$5:$E$15,'Master Data'!$F$5:$F$15,""))</f>
        <v/>
      </c>
      <c r="G197" t="n">
        <v>12.5</v>
      </c>
      <c r="H197" s="9" t="n">
        <v>335</v>
      </c>
      <c r="I197" s="9">
        <f>IF(OR(G197="",H197=""),"",G197*H197)</f>
        <v/>
      </c>
      <c r="J197" s="9" t="n"/>
      <c r="K197" s="9" t="n"/>
      <c r="L197" s="9">
        <f>IF(I197="","",I197-IF(J197="",0,J197)-IF(K197="",0,K197))</f>
        <v/>
      </c>
      <c r="M197" s="9">
        <f>IF(E197="","",XLOOKUP(E197,'Master Data'!$E$5:$E$15,'Master Data'!$G$5:$G$15,0))</f>
        <v/>
      </c>
      <c r="N197" s="9">
        <f>IF(E197="","",XLOOKUP(E197,'Master Data'!$E$5:$E$15,'Master Data'!$H$5:$H$15,0))</f>
        <v/>
      </c>
      <c r="O197" s="9">
        <f>IF(L197="","",L197-M197-N197)</f>
        <v/>
      </c>
      <c r="Q197" t="inlineStr">
        <is>
          <t>10</t>
        </is>
      </c>
      <c r="S197" s="9" t="n"/>
    </row>
    <row r="198">
      <c r="A198" t="n">
        <v>206</v>
      </c>
      <c r="B198" s="8" t="n">
        <v>46192.67107638889</v>
      </c>
      <c r="C198" t="inlineStr">
        <is>
          <t>SHIVAM STEELS</t>
        </is>
      </c>
      <c r="D198" t="inlineStr">
        <is>
          <t>ALAPUR</t>
        </is>
      </c>
      <c r="E198" t="inlineStr">
        <is>
          <t>UP27BT0595</t>
        </is>
      </c>
      <c r="F198">
        <f>IF(E198="","",XLOOKUP(E198,'Master Data'!$E$5:$E$15,'Master Data'!$F$5:$F$15,""))</f>
        <v/>
      </c>
      <c r="G198" t="n">
        <v>12.5</v>
      </c>
      <c r="H198" s="9" t="n">
        <v>335</v>
      </c>
      <c r="I198" s="9">
        <f>IF(OR(G198="",H198=""),"",G198*H198)</f>
        <v/>
      </c>
      <c r="J198" s="9" t="n"/>
      <c r="K198" s="9" t="n"/>
      <c r="L198" s="9">
        <f>IF(I198="","",I198-IF(J198="",0,J198)-IF(K198="",0,K198))</f>
        <v/>
      </c>
      <c r="M198" s="9">
        <f>IF(E198="","",XLOOKUP(E198,'Master Data'!$E$5:$E$15,'Master Data'!$G$5:$G$15,0))</f>
        <v/>
      </c>
      <c r="N198" s="9">
        <f>IF(E198="","",XLOOKUP(E198,'Master Data'!$E$5:$E$15,'Master Data'!$H$5:$H$15,0))</f>
        <v/>
      </c>
      <c r="O198" s="9">
        <f>IF(L198="","",L198-M198-N198)</f>
        <v/>
      </c>
      <c r="Q198" t="inlineStr">
        <is>
          <t>10</t>
        </is>
      </c>
      <c r="S198" s="9" t="n"/>
    </row>
    <row r="199">
      <c r="A199" t="n">
        <v>207</v>
      </c>
      <c r="B199" s="8" t="n">
        <v>46193.00420138889</v>
      </c>
      <c r="C199" t="inlineStr">
        <is>
          <t>SHAILA ENTERPRISES</t>
        </is>
      </c>
      <c r="D199" t="inlineStr">
        <is>
          <t>BAREILLY</t>
        </is>
      </c>
      <c r="E199" t="inlineStr">
        <is>
          <t>UP22T5165</t>
        </is>
      </c>
      <c r="F199">
        <f>IF(E199="","",XLOOKUP(E199,'Master Data'!$E$5:$E$15,'Master Data'!$F$5:$F$15,""))</f>
        <v/>
      </c>
      <c r="G199" t="n">
        <v>25</v>
      </c>
      <c r="H199" s="9" t="n">
        <v>304</v>
      </c>
      <c r="I199" s="9">
        <f>IF(OR(G199="",H199=""),"",G199*H199)</f>
        <v/>
      </c>
      <c r="J199" s="9" t="n"/>
      <c r="K199" s="9" t="n"/>
      <c r="L199" s="9">
        <f>IF(I199="","",I199-IF(J199="",0,J199)-IF(K199="",0,K199))</f>
        <v/>
      </c>
      <c r="M199" s="9">
        <f>IF(E199="","",XLOOKUP(E199,'Master Data'!$E$5:$E$15,'Master Data'!$G$5:$G$15,0))</f>
        <v/>
      </c>
      <c r="N199" s="9">
        <f>IF(E199="","",XLOOKUP(E199,'Master Data'!$E$5:$E$15,'Master Data'!$H$5:$H$15,0))</f>
        <v/>
      </c>
      <c r="O199" s="9">
        <f>IF(L199="","",L199-M199-N199)</f>
        <v/>
      </c>
      <c r="Q199" t="inlineStr">
        <is>
          <t>11</t>
        </is>
      </c>
      <c r="S199" s="9" t="n"/>
    </row>
    <row r="200">
      <c r="A200" t="n">
        <v>208</v>
      </c>
      <c r="B200" s="8" t="n">
        <v>46192.87943287037</v>
      </c>
      <c r="C200" t="inlineStr">
        <is>
          <t>HAMMAD ENTERPRISES</t>
        </is>
      </c>
      <c r="D200" t="inlineStr">
        <is>
          <t>DHOURATANDA</t>
        </is>
      </c>
      <c r="E200" t="inlineStr">
        <is>
          <t>UP26T1707</t>
        </is>
      </c>
      <c r="F200">
        <f>IF(E200="","",XLOOKUP(E200,'Master Data'!$E$5:$E$15,'Master Data'!$F$5:$F$15,""))</f>
        <v/>
      </c>
      <c r="G200" t="n">
        <v>25</v>
      </c>
      <c r="H200" s="9" t="n">
        <v>374</v>
      </c>
      <c r="I200" s="9">
        <f>IF(OR(G200="",H200=""),"",G200*H200)</f>
        <v/>
      </c>
      <c r="J200" s="9" t="n"/>
      <c r="K200" s="9" t="n"/>
      <c r="L200" s="9">
        <f>IF(I200="","",I200-IF(J200="",0,J200)-IF(K200="",0,K200))</f>
        <v/>
      </c>
      <c r="M200" s="9">
        <f>IF(E200="","",XLOOKUP(E200,'Master Data'!$E$5:$E$15,'Master Data'!$G$5:$G$15,0))</f>
        <v/>
      </c>
      <c r="N200" s="9">
        <f>IF(E200="","",XLOOKUP(E200,'Master Data'!$E$5:$E$15,'Master Data'!$H$5:$H$15,0))</f>
        <v/>
      </c>
      <c r="O200" s="9">
        <f>IF(L200="","",L200-M200-N200)</f>
        <v/>
      </c>
      <c r="Q200" t="inlineStr">
        <is>
          <t>11</t>
        </is>
      </c>
      <c r="S200" s="9" t="n"/>
    </row>
    <row r="201">
      <c r="A201" t="n">
        <v>209</v>
      </c>
      <c r="B201" s="8" t="n">
        <v>46192.87960648148</v>
      </c>
      <c r="C201" t="inlineStr">
        <is>
          <t>AGARWAL CEMENT AGENCIES</t>
        </is>
      </c>
      <c r="D201" t="inlineStr">
        <is>
          <t>NAWAB GANJ - RAMP</t>
        </is>
      </c>
      <c r="E201" t="inlineStr">
        <is>
          <t>UP25CT2572</t>
        </is>
      </c>
      <c r="F201">
        <f>IF(E201="","",XLOOKUP(E201,'Master Data'!$E$5:$E$15,'Master Data'!$F$5:$F$15,""))</f>
        <v/>
      </c>
      <c r="G201" t="n">
        <v>25</v>
      </c>
      <c r="H201" s="9" t="n">
        <v>566</v>
      </c>
      <c r="I201" s="9">
        <f>IF(OR(G201="",H201=""),"",G201*H201)</f>
        <v/>
      </c>
      <c r="J201" s="9" t="n"/>
      <c r="K201" s="9" t="n"/>
      <c r="L201" s="9">
        <f>IF(I201="","",I201-IF(J201="",0,J201)-IF(K201="",0,K201))</f>
        <v/>
      </c>
      <c r="M201" s="9">
        <f>IF(E201="","",XLOOKUP(E201,'Master Data'!$E$5:$E$15,'Master Data'!$G$5:$G$15,0))</f>
        <v/>
      </c>
      <c r="N201" s="9">
        <f>IF(E201="","",XLOOKUP(E201,'Master Data'!$E$5:$E$15,'Master Data'!$H$5:$H$15,0))</f>
        <v/>
      </c>
      <c r="O201" s="9">
        <f>IF(L201="","",L201-M201-N201)</f>
        <v/>
      </c>
      <c r="Q201" t="inlineStr">
        <is>
          <t>11</t>
        </is>
      </c>
      <c r="S201" s="9" t="n"/>
    </row>
    <row r="202">
      <c r="A202" t="n">
        <v>210</v>
      </c>
      <c r="B202" s="8" t="n">
        <v>46193.29613425926</v>
      </c>
      <c r="C202" t="inlineStr">
        <is>
          <t>GAFFAR CEMENT STORE</t>
        </is>
      </c>
      <c r="D202" t="inlineStr">
        <is>
          <t>TANDIYAWAN</t>
        </is>
      </c>
      <c r="E202" t="inlineStr">
        <is>
          <t>UP25CT3782</t>
        </is>
      </c>
      <c r="F202">
        <f>IF(E202="","",XLOOKUP(E202,'Master Data'!$E$5:$E$15,'Master Data'!$F$5:$F$15,""))</f>
        <v/>
      </c>
      <c r="G202" t="n">
        <v>25</v>
      </c>
      <c r="H202" s="9" t="n">
        <v>468</v>
      </c>
      <c r="I202" s="9">
        <f>IF(OR(G202="",H202=""),"",G202*H202)</f>
        <v/>
      </c>
      <c r="J202" s="9" t="n"/>
      <c r="K202" s="9" t="n"/>
      <c r="L202" s="9">
        <f>IF(I202="","",I202-IF(J202="",0,J202)-IF(K202="",0,K202))</f>
        <v/>
      </c>
      <c r="M202" s="9">
        <f>IF(E202="","",XLOOKUP(E202,'Master Data'!$E$5:$E$15,'Master Data'!$G$5:$G$15,0))</f>
        <v/>
      </c>
      <c r="N202" s="9">
        <f>IF(E202="","",XLOOKUP(E202,'Master Data'!$E$5:$E$15,'Master Data'!$H$5:$H$15,0))</f>
        <v/>
      </c>
      <c r="O202" s="9">
        <f>IF(L202="","",L202-M202-N202)</f>
        <v/>
      </c>
      <c r="P202" t="inlineStr">
        <is>
          <t>YES</t>
        </is>
      </c>
      <c r="Q202" t="inlineStr">
        <is>
          <t>9 EPOD</t>
        </is>
      </c>
      <c r="S202" s="9" t="n"/>
    </row>
    <row r="203">
      <c r="A203" t="n">
        <v>211</v>
      </c>
      <c r="B203" s="8" t="n">
        <v>46193.00431712963</v>
      </c>
      <c r="C203" t="inlineStr">
        <is>
          <t>JAI BHARAT ENTERPRISES (SIS)</t>
        </is>
      </c>
      <c r="D203" t="inlineStr">
        <is>
          <t>MOHAMMADI</t>
        </is>
      </c>
      <c r="E203" t="inlineStr">
        <is>
          <t>UP25CT4514</t>
        </is>
      </c>
      <c r="F203">
        <f>IF(E203="","",XLOOKUP(E203,'Master Data'!$E$5:$E$15,'Master Data'!$F$5:$F$15,""))</f>
        <v/>
      </c>
      <c r="G203" t="n">
        <v>25</v>
      </c>
      <c r="H203" s="9" t="n">
        <v>363</v>
      </c>
      <c r="I203" s="9">
        <f>IF(OR(G203="",H203=""),"",G203*H203)</f>
        <v/>
      </c>
      <c r="J203" s="9" t="n"/>
      <c r="K203" s="9" t="n"/>
      <c r="L203" s="9">
        <f>IF(I203="","",I203-IF(J203="",0,J203)-IF(K203="",0,K203))</f>
        <v/>
      </c>
      <c r="M203" s="9">
        <f>IF(E203="","",XLOOKUP(E203,'Master Data'!$E$5:$E$15,'Master Data'!$G$5:$G$15,0))</f>
        <v/>
      </c>
      <c r="N203" s="9">
        <f>IF(E203="","",XLOOKUP(E203,'Master Data'!$E$5:$E$15,'Master Data'!$H$5:$H$15,0))</f>
        <v/>
      </c>
      <c r="O203" s="9">
        <f>IF(L203="","",L203-M203-N203)</f>
        <v/>
      </c>
      <c r="Q203" t="inlineStr">
        <is>
          <t>11</t>
        </is>
      </c>
      <c r="R203" s="8" t="n">
        <v>46192</v>
      </c>
      <c r="S203" s="9" t="n">
        <v>5000</v>
      </c>
      <c r="T203" t="inlineStr">
        <is>
          <t>GPAY BY PAPPU CHACHA</t>
        </is>
      </c>
    </row>
    <row r="204">
      <c r="A204" t="n">
        <v>212</v>
      </c>
      <c r="B204" s="8" t="n">
        <v>46193.29616898148</v>
      </c>
      <c r="C204" t="inlineStr">
        <is>
          <t>MALIK TRADERS</t>
        </is>
      </c>
      <c r="D204" t="inlineStr">
        <is>
          <t>SHAHBAD (HARDOI)</t>
        </is>
      </c>
      <c r="E204" t="inlineStr">
        <is>
          <t>UP25JT8804</t>
        </is>
      </c>
      <c r="F204">
        <f>IF(E204="","",XLOOKUP(E204,'Master Data'!$E$5:$E$15,'Master Data'!$F$5:$F$15,""))</f>
        <v/>
      </c>
      <c r="G204" t="n">
        <v>13</v>
      </c>
      <c r="H204" s="9" t="n">
        <v>443</v>
      </c>
      <c r="I204" s="9">
        <f>IF(OR(G204="",H204=""),"",G204*H204)</f>
        <v/>
      </c>
      <c r="J204" s="9" t="n">
        <v>2000</v>
      </c>
      <c r="K204" s="9" t="n">
        <v>1000</v>
      </c>
      <c r="L204" s="9">
        <f>IF(I204="","",I204-IF(J204="",0,J204)-IF(K204="",0,K204))</f>
        <v/>
      </c>
      <c r="M204" s="9">
        <f>IF(E204="","",XLOOKUP(E204,'Master Data'!$E$5:$E$15,'Master Data'!$G$5:$G$15,0))</f>
        <v/>
      </c>
      <c r="N204" s="9">
        <f>IF(E204="","",XLOOKUP(E204,'Master Data'!$E$5:$E$15,'Master Data'!$H$5:$H$15,0))</f>
        <v/>
      </c>
      <c r="O204" s="9">
        <f>IF(L204="","",L204-M204-N204)</f>
        <v/>
      </c>
      <c r="Q204" t="inlineStr">
        <is>
          <t>8 EPOD</t>
        </is>
      </c>
      <c r="S204" s="9" t="n"/>
    </row>
    <row r="205">
      <c r="A205" t="n">
        <v>213</v>
      </c>
      <c r="B205" s="8" t="n">
        <v>46193.62940972222</v>
      </c>
      <c r="C205" t="inlineStr">
        <is>
          <t>TAMEER TRADERS</t>
        </is>
      </c>
      <c r="D205" t="inlineStr">
        <is>
          <t>MIRANPUR KATRA</t>
        </is>
      </c>
      <c r="E205" t="inlineStr">
        <is>
          <t>UP25JT8802</t>
        </is>
      </c>
      <c r="F205">
        <f>IF(E205="","",XLOOKUP(E205,'Master Data'!$E$5:$E$15,'Master Data'!$F$5:$F$15,""))</f>
        <v/>
      </c>
      <c r="G205" t="n">
        <v>13</v>
      </c>
      <c r="H205" s="9" t="n">
        <v>319</v>
      </c>
      <c r="I205" s="9">
        <f>IF(OR(G205="",H205=""),"",G205*H205)</f>
        <v/>
      </c>
      <c r="J205" s="9" t="n">
        <v>2000</v>
      </c>
      <c r="K205" s="9" t="n">
        <v>1000</v>
      </c>
      <c r="L205" s="9">
        <f>IF(I205="","",I205-IF(J205="",0,J205)-IF(K205="",0,K205))</f>
        <v/>
      </c>
      <c r="M205" s="9">
        <f>IF(E205="","",XLOOKUP(E205,'Master Data'!$E$5:$E$15,'Master Data'!$G$5:$G$15,0))</f>
        <v/>
      </c>
      <c r="N205" s="9">
        <f>IF(E205="","",XLOOKUP(E205,'Master Data'!$E$5:$E$15,'Master Data'!$H$5:$H$15,0))</f>
        <v/>
      </c>
      <c r="O205" s="9">
        <f>IF(L205="","",L205-M205-N205)</f>
        <v/>
      </c>
      <c r="Q205" t="inlineStr">
        <is>
          <t>8 EPOD</t>
        </is>
      </c>
      <c r="S205" s="9" t="n"/>
    </row>
    <row r="206">
      <c r="A206" t="n">
        <v>214</v>
      </c>
      <c r="B206" s="8" t="n">
        <v>46193.58802083333</v>
      </c>
      <c r="C206" t="inlineStr">
        <is>
          <t>ADARSH ENTERPRISES</t>
        </is>
      </c>
      <c r="D206" t="inlineStr">
        <is>
          <t>POWAYAN</t>
        </is>
      </c>
      <c r="E206" t="inlineStr">
        <is>
          <t>UP25JT8803</t>
        </is>
      </c>
      <c r="F206">
        <f>IF(E206="","",XLOOKUP(E206,'Master Data'!$E$5:$E$15,'Master Data'!$F$5:$F$15,""))</f>
        <v/>
      </c>
      <c r="G206" t="n">
        <v>13</v>
      </c>
      <c r="H206" s="9" t="n">
        <v>437</v>
      </c>
      <c r="I206" s="9">
        <f>IF(OR(G206="",H206=""),"",G206*H206)</f>
        <v/>
      </c>
      <c r="J206" s="9" t="n">
        <v>2000</v>
      </c>
      <c r="K206" s="9" t="n">
        <v>1000</v>
      </c>
      <c r="L206" s="9">
        <f>IF(I206="","",I206-IF(J206="",0,J206)-IF(K206="",0,K206))</f>
        <v/>
      </c>
      <c r="M206" s="9">
        <f>IF(E206="","",XLOOKUP(E206,'Master Data'!$E$5:$E$15,'Master Data'!$G$5:$G$15,0))</f>
        <v/>
      </c>
      <c r="N206" s="9">
        <f>IF(E206="","",XLOOKUP(E206,'Master Data'!$E$5:$E$15,'Master Data'!$H$5:$H$15,0))</f>
        <v/>
      </c>
      <c r="O206" s="9">
        <f>IF(L206="","",L206-M206-N206)</f>
        <v/>
      </c>
      <c r="Q206" t="inlineStr">
        <is>
          <t>11</t>
        </is>
      </c>
      <c r="S206" s="9" t="n"/>
    </row>
    <row r="207">
      <c r="A207" t="n">
        <v>216</v>
      </c>
      <c r="B207" s="8" t="n">
        <v>46193.58778935186</v>
      </c>
      <c r="C207" t="inlineStr">
        <is>
          <t>PRAMOD KANT AMIT KUMAR</t>
        </is>
      </c>
      <c r="D207" t="inlineStr">
        <is>
          <t>DATAGANJ</t>
        </is>
      </c>
      <c r="E207" t="inlineStr">
        <is>
          <t>UP25BT2915</t>
        </is>
      </c>
      <c r="F207">
        <f>IF(E207="","",XLOOKUP(E207,'Master Data'!$E$5:$E$15,'Master Data'!$F$5:$F$15,""))</f>
        <v/>
      </c>
      <c r="G207" t="n">
        <v>25</v>
      </c>
      <c r="H207" s="9" t="n">
        <v>252</v>
      </c>
      <c r="I207" s="9">
        <f>IF(OR(G207="",H207=""),"",G207*H207)</f>
        <v/>
      </c>
      <c r="J207" s="9" t="n"/>
      <c r="K207" s="9" t="n">
        <v>4000</v>
      </c>
      <c r="L207" s="9">
        <f>IF(I207="","",I207-IF(J207="",0,J207)-IF(K207="",0,K207))</f>
        <v/>
      </c>
      <c r="M207" s="9">
        <f>IF(E207="","",XLOOKUP(E207,'Master Data'!$E$5:$E$15,'Master Data'!$G$5:$G$15,0))</f>
        <v/>
      </c>
      <c r="N207" s="9">
        <f>IF(E207="","",XLOOKUP(E207,'Master Data'!$E$5:$E$15,'Master Data'!$H$5:$H$15,0))</f>
        <v/>
      </c>
      <c r="O207" s="9">
        <f>IF(L207="","",L207-M207-N207)</f>
        <v/>
      </c>
      <c r="Q207" t="inlineStr">
        <is>
          <t>10</t>
        </is>
      </c>
      <c r="S207" s="9" t="n"/>
    </row>
    <row r="208">
      <c r="A208" t="n">
        <v>217</v>
      </c>
      <c r="B208" s="8" t="n">
        <v>46193.71300925926</v>
      </c>
      <c r="C208" t="inlineStr">
        <is>
          <t>GAURAV ENTERPRISES</t>
        </is>
      </c>
      <c r="D208" t="inlineStr">
        <is>
          <t>BAREILLY</t>
        </is>
      </c>
      <c r="E208" t="inlineStr">
        <is>
          <t>UP25CT7099</t>
        </is>
      </c>
      <c r="F208">
        <f>IF(E208="","",XLOOKUP(E208,'Master Data'!$E$5:$E$15,'Master Data'!$F$5:$F$15,""))</f>
        <v/>
      </c>
      <c r="G208" t="n">
        <v>30</v>
      </c>
      <c r="H208" s="9" t="n">
        <v>306</v>
      </c>
      <c r="I208" s="9">
        <f>IF(OR(G208="",H208=""),"",G208*H208)</f>
        <v/>
      </c>
      <c r="J208" s="9" t="n">
        <v>3000</v>
      </c>
      <c r="K208" s="9" t="n">
        <v>1500</v>
      </c>
      <c r="L208" s="9">
        <f>IF(I208="","",I208-IF(J208="",0,J208)-IF(K208="",0,K208))</f>
        <v/>
      </c>
      <c r="M208" s="9">
        <f>IF(E208="","",XLOOKUP(E208,'Master Data'!$E$5:$E$15,'Master Data'!$G$5:$G$15,0))</f>
        <v/>
      </c>
      <c r="N208" s="9">
        <f>IF(E208="","",XLOOKUP(E208,'Master Data'!$E$5:$E$15,'Master Data'!$H$5:$H$15,0))</f>
        <v/>
      </c>
      <c r="O208" s="9">
        <f>IF(L208="","",L208-M208-N208)</f>
        <v/>
      </c>
      <c r="P208" t="inlineStr">
        <is>
          <t>YES</t>
        </is>
      </c>
      <c r="S208" s="9" t="n"/>
    </row>
    <row r="209">
      <c r="A209" t="n">
        <v>215</v>
      </c>
      <c r="B209" s="8" t="n">
        <v>46193.71273148148</v>
      </c>
      <c r="C209" t="inlineStr">
        <is>
          <t>SUBHAM TRADERS</t>
        </is>
      </c>
      <c r="D209" t="inlineStr">
        <is>
          <t>TISUA</t>
        </is>
      </c>
      <c r="E209" t="inlineStr">
        <is>
          <t>UP83T5121</t>
        </is>
      </c>
      <c r="F209">
        <f>IF(E209="","",XLOOKUP(E209,'Master Data'!$E$5:$E$15,'Master Data'!$F$5:$F$15,""))</f>
        <v/>
      </c>
      <c r="G209" t="n">
        <v>20</v>
      </c>
      <c r="H209" s="9" t="n">
        <v>205</v>
      </c>
      <c r="I209" s="9">
        <f>IF(OR(G209="",H209=""),"",G209*H209)</f>
        <v/>
      </c>
      <c r="J209" s="9" t="n"/>
      <c r="K209" s="9" t="n"/>
      <c r="L209" s="9">
        <f>IF(I209="","",I209-IF(J209="",0,J209)-IF(K209="",0,K209))</f>
        <v/>
      </c>
      <c r="M209" s="9">
        <f>IF(E209="","",XLOOKUP(E209,'Master Data'!$E$5:$E$15,'Master Data'!$G$5:$G$15,0))</f>
        <v/>
      </c>
      <c r="N209" s="9">
        <f>IF(E209="","",XLOOKUP(E209,'Master Data'!$E$5:$E$15,'Master Data'!$H$5:$H$15,0))</f>
        <v/>
      </c>
      <c r="O209" s="9">
        <f>IF(L209="","",L209-M209-N209)</f>
        <v/>
      </c>
      <c r="Q209" t="inlineStr">
        <is>
          <t>10</t>
        </is>
      </c>
      <c r="S209" s="9" t="n"/>
    </row>
    <row r="210">
      <c r="A210" t="n">
        <v>218</v>
      </c>
      <c r="B210" s="8" t="n">
        <v>46193.79631944445</v>
      </c>
      <c r="C210" t="inlineStr">
        <is>
          <t>GARG CEMENT STORE</t>
        </is>
      </c>
      <c r="D210" t="inlineStr">
        <is>
          <t>BARKHAN</t>
        </is>
      </c>
      <c r="E210" t="inlineStr">
        <is>
          <t>UP25CT4514</t>
        </is>
      </c>
      <c r="F210">
        <f>IF(E210="","",XLOOKUP(E210,'Master Data'!$E$5:$E$15,'Master Data'!$F$5:$F$15,""))</f>
        <v/>
      </c>
      <c r="G210" t="n">
        <v>25</v>
      </c>
      <c r="H210" s="9" t="n">
        <v>389</v>
      </c>
      <c r="I210" s="9">
        <f>IF(OR(G210="",H210=""),"",G210*H210)</f>
        <v/>
      </c>
      <c r="J210" s="9" t="n">
        <v>4500</v>
      </c>
      <c r="K210" s="9" t="n">
        <v>1500</v>
      </c>
      <c r="L210" s="9">
        <f>IF(I210="","",I210-IF(J210="",0,J210)-IF(K210="",0,K210))</f>
        <v/>
      </c>
      <c r="M210" s="9">
        <f>IF(E210="","",XLOOKUP(E210,'Master Data'!$E$5:$E$15,'Master Data'!$G$5:$G$15,0))</f>
        <v/>
      </c>
      <c r="N210" s="9">
        <f>IF(E210="","",XLOOKUP(E210,'Master Data'!$E$5:$E$15,'Master Data'!$H$5:$H$15,0))</f>
        <v/>
      </c>
      <c r="O210" s="9">
        <f>IF(L210="","",L210-M210-N210)</f>
        <v/>
      </c>
      <c r="Q210" t="inlineStr">
        <is>
          <t>11</t>
        </is>
      </c>
      <c r="S210" s="9" t="n"/>
    </row>
    <row r="211">
      <c r="A211" t="n">
        <v>219</v>
      </c>
      <c r="B211" s="8" t="n">
        <v>46193.83791666666</v>
      </c>
      <c r="C211" t="inlineStr">
        <is>
          <t>S S TRADERS AND SUPPLIERS</t>
        </is>
      </c>
      <c r="D211" t="inlineStr">
        <is>
          <t>FATEHGANJ WEST</t>
        </is>
      </c>
      <c r="E211" t="inlineStr">
        <is>
          <t>UP25AT3048</t>
        </is>
      </c>
      <c r="F211">
        <f>IF(E211="","",XLOOKUP(E211,'Master Data'!$E$5:$E$15,'Master Data'!$F$5:$F$15,""))</f>
        <v/>
      </c>
      <c r="G211" t="n">
        <v>15</v>
      </c>
      <c r="H211" s="9" t="n">
        <v>397</v>
      </c>
      <c r="I211" s="9">
        <f>IF(OR(G211="",H211=""),"",G211*H211)</f>
        <v/>
      </c>
      <c r="J211" s="9" t="n">
        <v>3000</v>
      </c>
      <c r="K211" s="9" t="n">
        <v>1500</v>
      </c>
      <c r="L211" s="9">
        <f>IF(I211="","",I211-IF(J211="",0,J211)-IF(K211="",0,K211))</f>
        <v/>
      </c>
      <c r="M211" s="9">
        <f>IF(E211="","",XLOOKUP(E211,'Master Data'!$E$5:$E$15,'Master Data'!$G$5:$G$15,0))</f>
        <v/>
      </c>
      <c r="N211" s="9">
        <f>IF(E211="","",XLOOKUP(E211,'Master Data'!$E$5:$E$15,'Master Data'!$H$5:$H$15,0))</f>
        <v/>
      </c>
      <c r="O211" s="9">
        <f>IF(L211="","",L211-M211-N211)</f>
        <v/>
      </c>
      <c r="Q211" t="inlineStr">
        <is>
          <t>8 EPOD</t>
        </is>
      </c>
      <c r="S211" s="9" t="n"/>
    </row>
    <row r="212">
      <c r="A212" t="n">
        <v>220</v>
      </c>
      <c r="B212" s="8" t="n">
        <v>46193.83765046296</v>
      </c>
      <c r="C212" t="inlineStr">
        <is>
          <t>S S TRADERS AND SUPPLIERS</t>
        </is>
      </c>
      <c r="D212" t="inlineStr">
        <is>
          <t>SHAI</t>
        </is>
      </c>
      <c r="E212" t="inlineStr">
        <is>
          <t>UP25AT3048</t>
        </is>
      </c>
      <c r="F212">
        <f>IF(E212="","",XLOOKUP(E212,'Master Data'!$E$5:$E$15,'Master Data'!$F$5:$F$15,""))</f>
        <v/>
      </c>
      <c r="G212" t="n">
        <v>5</v>
      </c>
      <c r="H212" s="9" t="n">
        <v>457</v>
      </c>
      <c r="I212" s="9">
        <f>IF(OR(G212="",H212=""),"",G212*H212)</f>
        <v/>
      </c>
      <c r="J212" s="9" t="n"/>
      <c r="K212" s="9" t="n"/>
      <c r="L212" s="9">
        <f>IF(I212="","",I212-IF(J212="",0,J212)-IF(K212="",0,K212))</f>
        <v/>
      </c>
      <c r="M212" s="9">
        <f>IF(E212="","",XLOOKUP(E212,'Master Data'!$E$5:$E$15,'Master Data'!$G$5:$G$15,0))</f>
        <v/>
      </c>
      <c r="N212" s="9">
        <f>IF(E212="","",XLOOKUP(E212,'Master Data'!$E$5:$E$15,'Master Data'!$H$5:$H$15,0))</f>
        <v/>
      </c>
      <c r="O212" s="9">
        <f>IF(L212="","",L212-M212-N212)</f>
        <v/>
      </c>
      <c r="P212" t="inlineStr">
        <is>
          <t>YES</t>
        </is>
      </c>
      <c r="S212" s="9" t="n"/>
    </row>
    <row r="213">
      <c r="A213" t="n">
        <v>221</v>
      </c>
      <c r="B213" s="8" t="n">
        <v>46193.7959837963</v>
      </c>
      <c r="C213" t="inlineStr">
        <is>
          <t>DUA AGENCIES</t>
        </is>
      </c>
      <c r="D213" t="inlineStr">
        <is>
          <t>POWAYAN</t>
        </is>
      </c>
      <c r="E213" t="inlineStr">
        <is>
          <t>UP25JT8804</t>
        </is>
      </c>
      <c r="F213">
        <f>IF(E213="","",XLOOKUP(E213,'Master Data'!$E$5:$E$15,'Master Data'!$F$5:$F$15,""))</f>
        <v/>
      </c>
      <c r="G213" t="n">
        <v>13</v>
      </c>
      <c r="H213" s="9" t="n">
        <v>438</v>
      </c>
      <c r="I213" s="9">
        <f>IF(OR(G213="",H213=""),"",G213*H213)</f>
        <v/>
      </c>
      <c r="J213" s="9" t="n"/>
      <c r="K213" s="9" t="n"/>
      <c r="L213" s="9">
        <f>IF(I213="","",I213-IF(J213="",0,J213)-IF(K213="",0,K213))</f>
        <v/>
      </c>
      <c r="M213" s="9">
        <f>IF(E213="","",XLOOKUP(E213,'Master Data'!$E$5:$E$15,'Master Data'!$G$5:$G$15,0))</f>
        <v/>
      </c>
      <c r="N213" s="9">
        <f>IF(E213="","",XLOOKUP(E213,'Master Data'!$E$5:$E$15,'Master Data'!$H$5:$H$15,0))</f>
        <v/>
      </c>
      <c r="O213" s="9">
        <f>IF(L213="","",L213-M213-N213)</f>
        <v/>
      </c>
      <c r="Q213" t="inlineStr">
        <is>
          <t>8 EPOD</t>
        </is>
      </c>
      <c r="S213" s="9" t="n"/>
    </row>
    <row r="214">
      <c r="A214" t="n">
        <v>222</v>
      </c>
      <c r="B214" s="8" t="n">
        <v>46193.96261574074</v>
      </c>
      <c r="C214" t="inlineStr">
        <is>
          <t>JAI BHARAT ENTERPRISES (SIS)</t>
        </is>
      </c>
      <c r="D214" t="inlineStr">
        <is>
          <t>KHUTAR KHAS</t>
        </is>
      </c>
      <c r="E214" t="inlineStr">
        <is>
          <t>UP22T5165</t>
        </is>
      </c>
      <c r="F214">
        <f>IF(E214="","",XLOOKUP(E214,'Master Data'!$E$5:$E$15,'Master Data'!$F$5:$F$15,""))</f>
        <v/>
      </c>
      <c r="G214" t="n">
        <v>13</v>
      </c>
      <c r="H214" s="9" t="n">
        <v>399</v>
      </c>
      <c r="I214" s="9">
        <f>IF(OR(G214="",H214=""),"",G214*H214)</f>
        <v/>
      </c>
      <c r="J214" s="9" t="n">
        <v>5000</v>
      </c>
      <c r="K214" s="9" t="n">
        <v>1500</v>
      </c>
      <c r="L214" s="9">
        <f>IF(I214="","",I214-IF(J214="",0,J214)-IF(K214="",0,K214))</f>
        <v/>
      </c>
      <c r="M214" s="9">
        <f>IF(E214="","",XLOOKUP(E214,'Master Data'!$E$5:$E$15,'Master Data'!$G$5:$G$15,0))</f>
        <v/>
      </c>
      <c r="N214" s="9">
        <f>IF(E214="","",XLOOKUP(E214,'Master Data'!$E$5:$E$15,'Master Data'!$H$5:$H$15,0))</f>
        <v/>
      </c>
      <c r="O214" s="9">
        <f>IF(L214="","",L214-M214-N214)</f>
        <v/>
      </c>
      <c r="S214" s="9" t="n"/>
    </row>
    <row r="215">
      <c r="A215" t="n">
        <v>223</v>
      </c>
      <c r="B215" s="8" t="n">
        <v>46193.96298611111</v>
      </c>
      <c r="C215" t="inlineStr">
        <is>
          <t>JAI BHARAT ENTERPRISES (SIS)</t>
        </is>
      </c>
      <c r="D215" t="inlineStr">
        <is>
          <t>KHUTAR KHAS</t>
        </is>
      </c>
      <c r="E215" t="inlineStr">
        <is>
          <t>UP22T5165</t>
        </is>
      </c>
      <c r="F215">
        <f>IF(E215="","",XLOOKUP(E215,'Master Data'!$E$5:$E$15,'Master Data'!$F$5:$F$15,""))</f>
        <v/>
      </c>
      <c r="G215" t="n">
        <v>12</v>
      </c>
      <c r="H215" s="9" t="n">
        <v>399</v>
      </c>
      <c r="I215" s="9">
        <f>IF(OR(G215="",H215=""),"",G215*H215)</f>
        <v/>
      </c>
      <c r="J215" s="9" t="n"/>
      <c r="K215" s="9" t="n"/>
      <c r="L215" s="9">
        <f>IF(I215="","",I215-IF(J215="",0,J215)-IF(K215="",0,K215))</f>
        <v/>
      </c>
      <c r="M215" s="9">
        <f>IF(E215="","",XLOOKUP(E215,'Master Data'!$E$5:$E$15,'Master Data'!$G$5:$G$15,0))</f>
        <v/>
      </c>
      <c r="N215" s="9">
        <f>IF(E215="","",XLOOKUP(E215,'Master Data'!$E$5:$E$15,'Master Data'!$H$5:$H$15,0))</f>
        <v/>
      </c>
      <c r="O215" s="9">
        <f>IF(L215="","",L215-M215-N215)</f>
        <v/>
      </c>
      <c r="S215" s="9" t="n"/>
    </row>
    <row r="216">
      <c r="A216" t="n">
        <v>225</v>
      </c>
      <c r="B216" s="8" t="n">
        <v>46193.87974537037</v>
      </c>
      <c r="C216" t="inlineStr">
        <is>
          <t>RADHEY KRISHNA TRADERS</t>
        </is>
      </c>
      <c r="D216" t="inlineStr">
        <is>
          <t>RUPAPUR (HARDOI)</t>
        </is>
      </c>
      <c r="E216" t="inlineStr">
        <is>
          <t>UP26T1707</t>
        </is>
      </c>
      <c r="F216">
        <f>IF(E216="","",XLOOKUP(E216,'Master Data'!$E$5:$E$15,'Master Data'!$F$5:$F$15,""))</f>
        <v/>
      </c>
      <c r="G216" t="n">
        <v>25</v>
      </c>
      <c r="H216" s="9" t="n">
        <v>338</v>
      </c>
      <c r="I216" s="9">
        <f>IF(OR(G216="",H216=""),"",G216*H216)</f>
        <v/>
      </c>
      <c r="J216" s="9" t="n"/>
      <c r="K216" s="9" t="n">
        <v>5000</v>
      </c>
      <c r="L216" s="9">
        <f>IF(I216="","",I216-IF(J216="",0,J216)-IF(K216="",0,K216))</f>
        <v/>
      </c>
      <c r="M216" s="9">
        <f>IF(E216="","",XLOOKUP(E216,'Master Data'!$E$5:$E$15,'Master Data'!$G$5:$G$15,0))</f>
        <v/>
      </c>
      <c r="N216" s="9">
        <f>IF(E216="","",XLOOKUP(E216,'Master Data'!$E$5:$E$15,'Master Data'!$H$5:$H$15,0))</f>
        <v/>
      </c>
      <c r="O216" s="9">
        <f>IF(L216="","",L216-M216-N216)</f>
        <v/>
      </c>
      <c r="Q216" t="inlineStr">
        <is>
          <t>8 EPOD</t>
        </is>
      </c>
      <c r="S216" s="9" t="n"/>
    </row>
    <row r="217">
      <c r="A217" t="n">
        <v>224</v>
      </c>
      <c r="B217" s="8" t="n">
        <v>46193.87956018518</v>
      </c>
      <c r="C217" t="inlineStr">
        <is>
          <t>PRAMOD KANT AMIT KUMAR</t>
        </is>
      </c>
      <c r="D217" t="inlineStr">
        <is>
          <t>SAMERER</t>
        </is>
      </c>
      <c r="E217" t="inlineStr">
        <is>
          <t>UP25AT6584</t>
        </is>
      </c>
      <c r="F217">
        <f>IF(E217="","",XLOOKUP(E217,'Master Data'!$E$5:$E$15,'Master Data'!$F$5:$F$15,""))</f>
        <v/>
      </c>
      <c r="G217" t="n">
        <v>20</v>
      </c>
      <c r="H217" s="9" t="n">
        <v>292</v>
      </c>
      <c r="I217" s="9">
        <f>IF(OR(G217="",H217=""),"",G217*H217)</f>
        <v/>
      </c>
      <c r="J217" s="9" t="n">
        <v>2500</v>
      </c>
      <c r="K217" s="9" t="n">
        <v>1500</v>
      </c>
      <c r="L217" s="9">
        <f>IF(I217="","",I217-IF(J217="",0,J217)-IF(K217="",0,K217))</f>
        <v/>
      </c>
      <c r="M217" s="9">
        <f>IF(E217="","",XLOOKUP(E217,'Master Data'!$E$5:$E$15,'Master Data'!$G$5:$G$15,0))</f>
        <v/>
      </c>
      <c r="N217" s="9">
        <f>IF(E217="","",XLOOKUP(E217,'Master Data'!$E$5:$E$15,'Master Data'!$H$5:$H$15,0))</f>
        <v/>
      </c>
      <c r="O217" s="9">
        <f>IF(L217="","",L217-M217-N217)</f>
        <v/>
      </c>
      <c r="S217" s="9" t="n"/>
    </row>
    <row r="218">
      <c r="A218" t="n">
        <v>226</v>
      </c>
      <c r="B218" s="8" t="n">
        <v>46193.96298611111</v>
      </c>
      <c r="C218" t="inlineStr">
        <is>
          <t>AGARWAL TRADERS</t>
        </is>
      </c>
      <c r="D218" t="inlineStr">
        <is>
          <t>FAREEDPUR</t>
        </is>
      </c>
      <c r="E218" t="inlineStr">
        <is>
          <t>UP25DT5668</t>
        </is>
      </c>
      <c r="F218">
        <f>IF(E218="","",XLOOKUP(E218,'Master Data'!$E$5:$E$15,'Master Data'!$F$5:$F$15,""))</f>
        <v/>
      </c>
      <c r="G218" t="n">
        <v>12</v>
      </c>
      <c r="H218" s="9" t="n">
        <v>206</v>
      </c>
      <c r="I218" s="9">
        <f>IF(OR(G218="",H218=""),"",G218*H218)</f>
        <v/>
      </c>
      <c r="J218" s="9" t="n"/>
      <c r="K218" s="9" t="n"/>
      <c r="L218" s="9">
        <f>IF(I218="","",I218-IF(J218="",0,J218)-IF(K218="",0,K218))</f>
        <v/>
      </c>
      <c r="M218" s="9">
        <f>IF(E218="","",XLOOKUP(E218,'Master Data'!$E$5:$E$15,'Master Data'!$G$5:$G$15,0))</f>
        <v/>
      </c>
      <c r="N218" s="9">
        <f>IF(E218="","",XLOOKUP(E218,'Master Data'!$E$5:$E$15,'Master Data'!$H$5:$H$15,0))</f>
        <v/>
      </c>
      <c r="O218" s="9">
        <f>IF(L218="","",L218-M218-N218)</f>
        <v/>
      </c>
      <c r="Q218" t="inlineStr">
        <is>
          <t>10</t>
        </is>
      </c>
      <c r="S218" s="9" t="n"/>
    </row>
    <row r="219">
      <c r="A219" t="n">
        <v>227</v>
      </c>
      <c r="B219" s="8" t="n">
        <v>46193.96310185185</v>
      </c>
      <c r="C219" t="inlineStr">
        <is>
          <t>AGARWAL TRADERS</t>
        </is>
      </c>
      <c r="D219" t="inlineStr">
        <is>
          <t>FAREEDPUR</t>
        </is>
      </c>
      <c r="E219" t="inlineStr">
        <is>
          <t>UP25DT5668</t>
        </is>
      </c>
      <c r="F219">
        <f>IF(E219="","",XLOOKUP(E219,'Master Data'!$E$5:$E$15,'Master Data'!$F$5:$F$15,""))</f>
        <v/>
      </c>
      <c r="G219" t="n">
        <v>13</v>
      </c>
      <c r="H219" s="9" t="n">
        <v>206</v>
      </c>
      <c r="I219" s="9">
        <f>IF(OR(G219="",H219=""),"",G219*H219)</f>
        <v/>
      </c>
      <c r="J219" s="9" t="n"/>
      <c r="K219" s="9" t="n"/>
      <c r="L219" s="9">
        <f>IF(I219="","",I219-IF(J219="",0,J219)-IF(K219="",0,K219))</f>
        <v/>
      </c>
      <c r="M219" s="9">
        <f>IF(E219="","",XLOOKUP(E219,'Master Data'!$E$5:$E$15,'Master Data'!$G$5:$G$15,0))</f>
        <v/>
      </c>
      <c r="N219" s="9">
        <f>IF(E219="","",XLOOKUP(E219,'Master Data'!$E$5:$E$15,'Master Data'!$H$5:$H$15,0))</f>
        <v/>
      </c>
      <c r="O219" s="9">
        <f>IF(L219="","",L219-M219-N219)</f>
        <v/>
      </c>
      <c r="Q219" t="inlineStr">
        <is>
          <t>10</t>
        </is>
      </c>
      <c r="S219" s="9" t="n"/>
    </row>
    <row r="220">
      <c r="A220" t="n">
        <v>228</v>
      </c>
      <c r="B220" s="8" t="n">
        <v>46193.92123842592</v>
      </c>
      <c r="C220" t="inlineStr">
        <is>
          <t>JAI BHARAT ENTERPRISES (SIS)</t>
        </is>
      </c>
      <c r="D220" t="inlineStr">
        <is>
          <t>GARIARANGEEN</t>
        </is>
      </c>
      <c r="E220" t="inlineStr">
        <is>
          <t>UP25JT8802</t>
        </is>
      </c>
      <c r="F220">
        <f>IF(E220="","",XLOOKUP(E220,'Master Data'!$E$5:$E$15,'Master Data'!$F$5:$F$15,""))</f>
        <v/>
      </c>
      <c r="G220" t="n">
        <v>13</v>
      </c>
      <c r="H220" s="9" t="n">
        <v>344</v>
      </c>
      <c r="I220" s="9">
        <f>IF(OR(G220="",H220=""),"",G220*H220)</f>
        <v/>
      </c>
      <c r="J220" s="9" t="n"/>
      <c r="K220" s="9" t="n">
        <v>1000</v>
      </c>
      <c r="L220" s="9">
        <f>IF(I220="","",I220-IF(J220="",0,J220)-IF(K220="",0,K220))</f>
        <v/>
      </c>
      <c r="M220" s="9">
        <f>IF(E220="","",XLOOKUP(E220,'Master Data'!$E$5:$E$15,'Master Data'!$G$5:$G$15,0))</f>
        <v/>
      </c>
      <c r="N220" s="9">
        <f>IF(E220="","",XLOOKUP(E220,'Master Data'!$E$5:$E$15,'Master Data'!$H$5:$H$15,0))</f>
        <v/>
      </c>
      <c r="O220" s="9">
        <f>IF(L220="","",L220-M220-N220)</f>
        <v/>
      </c>
      <c r="Q220" t="inlineStr">
        <is>
          <t>11</t>
        </is>
      </c>
      <c r="S220" s="9" t="n"/>
    </row>
    <row r="221">
      <c r="A221" t="n">
        <v>229</v>
      </c>
      <c r="B221" s="8" t="n">
        <v>46194.62983796297</v>
      </c>
      <c r="C221" t="inlineStr">
        <is>
          <t>MAYA MARKETING AGENCY</t>
        </is>
      </c>
      <c r="D221" t="inlineStr">
        <is>
          <t>MUKARRAMPUR</t>
        </is>
      </c>
      <c r="E221" t="inlineStr">
        <is>
          <t>UP25JT8802</t>
        </is>
      </c>
      <c r="F221">
        <f>IF(E221="","",XLOOKUP(E221,'Master Data'!$E$5:$E$15,'Master Data'!$F$5:$F$15,""))</f>
        <v/>
      </c>
      <c r="G221" t="n">
        <v>13</v>
      </c>
      <c r="H221" s="9" t="n">
        <v>377</v>
      </c>
      <c r="I221" s="9">
        <f>IF(OR(G221="",H221=""),"",G221*H221)</f>
        <v/>
      </c>
      <c r="J221" s="9" t="n">
        <v>2000</v>
      </c>
      <c r="K221" s="9" t="n">
        <v>1000</v>
      </c>
      <c r="L221" s="9">
        <f>IF(I221="","",I221-IF(J221="",0,J221)-IF(K221="",0,K221))</f>
        <v/>
      </c>
      <c r="M221" s="9">
        <f>IF(E221="","",XLOOKUP(E221,'Master Data'!$E$5:$E$15,'Master Data'!$G$5:$G$15,0))</f>
        <v/>
      </c>
      <c r="N221" s="9">
        <f>IF(E221="","",XLOOKUP(E221,'Master Data'!$E$5:$E$15,'Master Data'!$H$5:$H$15,0))</f>
        <v/>
      </c>
      <c r="O221" s="9">
        <f>IF(L221="","",L221-M221-N221)</f>
        <v/>
      </c>
      <c r="Q221" t="inlineStr">
        <is>
          <t>11</t>
        </is>
      </c>
      <c r="S221" s="9" t="n"/>
    </row>
    <row r="222">
      <c r="A222" t="n">
        <v>230</v>
      </c>
      <c r="B222" s="8" t="n">
        <v>46194.67096064815</v>
      </c>
      <c r="C222" t="inlineStr">
        <is>
          <t>GANI ENTERPRISES</t>
        </is>
      </c>
      <c r="D222" t="inlineStr">
        <is>
          <t>TILMAS</t>
        </is>
      </c>
      <c r="E222" t="inlineStr">
        <is>
          <t>UP25CT3782</t>
        </is>
      </c>
      <c r="F222">
        <f>IF(E222="","",XLOOKUP(E222,'Master Data'!$E$5:$E$15,'Master Data'!$F$5:$F$15,""))</f>
        <v/>
      </c>
      <c r="G222" t="n">
        <v>25</v>
      </c>
      <c r="H222" s="9" t="n">
        <v>378</v>
      </c>
      <c r="I222" s="9">
        <f>IF(OR(G222="",H222=""),"",G222*H222)</f>
        <v/>
      </c>
      <c r="J222" s="9" t="n">
        <v>4500</v>
      </c>
      <c r="K222" s="9" t="n">
        <v>1500</v>
      </c>
      <c r="L222" s="9">
        <f>IF(I222="","",I222-IF(J222="",0,J222)-IF(K222="",0,K222))</f>
        <v/>
      </c>
      <c r="M222" s="9">
        <f>IF(E222="","",XLOOKUP(E222,'Master Data'!$E$5:$E$15,'Master Data'!$G$5:$G$15,0))</f>
        <v/>
      </c>
      <c r="N222" s="9">
        <f>IF(E222="","",XLOOKUP(E222,'Master Data'!$E$5:$E$15,'Master Data'!$H$5:$H$15,0))</f>
        <v/>
      </c>
      <c r="O222" s="9">
        <f>IF(L222="","",L222-M222-N222)</f>
        <v/>
      </c>
      <c r="Q222" t="inlineStr">
        <is>
          <t>10</t>
        </is>
      </c>
      <c r="S222" s="9" t="n"/>
    </row>
    <row r="223">
      <c r="A223" t="n">
        <v>231</v>
      </c>
      <c r="B223" s="8" t="n">
        <v>46194.71314814815</v>
      </c>
      <c r="C223" t="inlineStr">
        <is>
          <t>ALOK TRADERS</t>
        </is>
      </c>
      <c r="D223" t="inlineStr">
        <is>
          <t>FAIZNAGAR</t>
        </is>
      </c>
      <c r="E223" t="inlineStr">
        <is>
          <t>UP27BT0595</t>
        </is>
      </c>
      <c r="F223">
        <f>IF(E223="","",XLOOKUP(E223,'Master Data'!$E$5:$E$15,'Master Data'!$F$5:$F$15,""))</f>
        <v/>
      </c>
      <c r="G223" t="n">
        <v>25</v>
      </c>
      <c r="H223" s="9" t="n">
        <v>244</v>
      </c>
      <c r="I223" s="9">
        <f>IF(OR(G223="",H223=""),"",G223*H223)</f>
        <v/>
      </c>
      <c r="J223" s="9" t="n"/>
      <c r="K223" s="9" t="n">
        <v>4000</v>
      </c>
      <c r="L223" s="9">
        <f>IF(I223="","",I223-IF(J223="",0,J223)-IF(K223="",0,K223))</f>
        <v/>
      </c>
      <c r="M223" s="9">
        <f>IF(E223="","",XLOOKUP(E223,'Master Data'!$E$5:$E$15,'Master Data'!$G$5:$G$15,0))</f>
        <v/>
      </c>
      <c r="N223" s="9">
        <f>IF(E223="","",XLOOKUP(E223,'Master Data'!$E$5:$E$15,'Master Data'!$H$5:$H$15,0))</f>
        <v/>
      </c>
      <c r="O223" s="9">
        <f>IF(L223="","",L223-M223-N223)</f>
        <v/>
      </c>
      <c r="Q223" t="inlineStr">
        <is>
          <t>8 EPOD</t>
        </is>
      </c>
      <c r="S223" s="9" t="n"/>
    </row>
    <row r="224">
      <c r="A224" t="n">
        <v>232</v>
      </c>
      <c r="B224" s="8" t="n">
        <v>46194.71289351852</v>
      </c>
      <c r="C224" t="inlineStr">
        <is>
          <t>M S TRADING COMPANY (SIS)</t>
        </is>
      </c>
      <c r="D224" t="inlineStr">
        <is>
          <t>LAKHIMPUR</t>
        </is>
      </c>
      <c r="E224" t="inlineStr">
        <is>
          <t>UP25BT7464</t>
        </is>
      </c>
      <c r="F224">
        <f>IF(E224="","",XLOOKUP(E224,'Master Data'!$E$5:$E$15,'Master Data'!$F$5:$F$15,""))</f>
        <v/>
      </c>
      <c r="G224" t="n">
        <v>15</v>
      </c>
      <c r="H224" s="9" t="n">
        <v>481</v>
      </c>
      <c r="I224" s="9">
        <f>IF(OR(G224="",H224=""),"",G224*H224)</f>
        <v/>
      </c>
      <c r="J224" s="9" t="n">
        <v>8000</v>
      </c>
      <c r="K224" s="9" t="n">
        <v>2000</v>
      </c>
      <c r="L224" s="9">
        <f>IF(I224="","",I224-IF(J224="",0,J224)-IF(K224="",0,K224))</f>
        <v/>
      </c>
      <c r="M224" s="9">
        <f>IF(E224="","",XLOOKUP(E224,'Master Data'!$E$5:$E$15,'Master Data'!$G$5:$G$15,0))</f>
        <v/>
      </c>
      <c r="N224" s="9">
        <f>IF(E224="","",XLOOKUP(E224,'Master Data'!$E$5:$E$15,'Master Data'!$H$5:$H$15,0))</f>
        <v/>
      </c>
      <c r="O224" s="9">
        <f>IF(L224="","",L224-M224-N224)</f>
        <v/>
      </c>
      <c r="P224" t="inlineStr">
        <is>
          <t>YES</t>
        </is>
      </c>
      <c r="S224" s="9" t="n"/>
    </row>
    <row r="225">
      <c r="A225" t="n">
        <v>233</v>
      </c>
      <c r="B225" s="8" t="n">
        <v>46194.71268518519</v>
      </c>
      <c r="C225" t="inlineStr">
        <is>
          <t>M S TRADING COMPANY (SIS)</t>
        </is>
      </c>
      <c r="D225" t="inlineStr">
        <is>
          <t>LAKHIMPUR</t>
        </is>
      </c>
      <c r="E225" t="inlineStr">
        <is>
          <t>UP25BT7464</t>
        </is>
      </c>
      <c r="F225">
        <f>IF(E225="","",XLOOKUP(E225,'Master Data'!$E$5:$E$15,'Master Data'!$F$5:$F$15,""))</f>
        <v/>
      </c>
      <c r="G225" t="n">
        <v>15</v>
      </c>
      <c r="H225" s="9" t="n">
        <v>481</v>
      </c>
      <c r="I225" s="9">
        <f>IF(OR(G225="",H225=""),"",G225*H225)</f>
        <v/>
      </c>
      <c r="J225" s="9" t="n"/>
      <c r="K225" s="9" t="n"/>
      <c r="L225" s="9">
        <f>IF(I225="","",I225-IF(J225="",0,J225)-IF(K225="",0,K225))</f>
        <v/>
      </c>
      <c r="M225" s="9">
        <f>IF(E225="","",XLOOKUP(E225,'Master Data'!$E$5:$E$15,'Master Data'!$G$5:$G$15,0))</f>
        <v/>
      </c>
      <c r="N225" s="9">
        <f>IF(E225="","",XLOOKUP(E225,'Master Data'!$E$5:$E$15,'Master Data'!$H$5:$H$15,0))</f>
        <v/>
      </c>
      <c r="O225" s="9">
        <f>IF(L225="","",L225-M225-N225)</f>
        <v/>
      </c>
      <c r="P225" t="inlineStr">
        <is>
          <t>YES</t>
        </is>
      </c>
      <c r="S225" s="9" t="n"/>
    </row>
    <row r="226">
      <c r="A226" t="n">
        <v>234</v>
      </c>
      <c r="B226" s="8" t="n">
        <v>46194.79623842592</v>
      </c>
      <c r="C226" t="inlineStr">
        <is>
          <t>ALOK TRADERS</t>
        </is>
      </c>
      <c r="D226" t="inlineStr">
        <is>
          <t>LAKHA</t>
        </is>
      </c>
      <c r="E226" t="inlineStr">
        <is>
          <t>UP27T0919</t>
        </is>
      </c>
      <c r="F226">
        <f>IF(E226="","",XLOOKUP(E226,'Master Data'!$E$5:$E$15,'Master Data'!$F$5:$F$15,""))</f>
        <v/>
      </c>
      <c r="G226" t="n">
        <v>20</v>
      </c>
      <c r="H226" s="9" t="n">
        <v>475</v>
      </c>
      <c r="I226" s="9">
        <f>IF(OR(G226="",H226=""),"",G226*H226)</f>
        <v/>
      </c>
      <c r="J226" s="9" t="n">
        <v>5500</v>
      </c>
      <c r="K226" s="9" t="n">
        <v>1500</v>
      </c>
      <c r="L226" s="9">
        <f>IF(I226="","",I226-IF(J226="",0,J226)-IF(K226="",0,K226))</f>
        <v/>
      </c>
      <c r="M226" s="9">
        <f>IF(E226="","",XLOOKUP(E226,'Master Data'!$E$5:$E$15,'Master Data'!$G$5:$G$15,0))</f>
        <v/>
      </c>
      <c r="N226" s="9">
        <f>IF(E226="","",XLOOKUP(E226,'Master Data'!$E$5:$E$15,'Master Data'!$H$5:$H$15,0))</f>
        <v/>
      </c>
      <c r="O226" s="9">
        <f>IF(L226="","",L226-M226-N226)</f>
        <v/>
      </c>
      <c r="P226" t="inlineStr">
        <is>
          <t>YES</t>
        </is>
      </c>
      <c r="S226" s="9" t="n"/>
    </row>
    <row r="227">
      <c r="A227" t="n">
        <v>235</v>
      </c>
      <c r="B227" s="8" t="n">
        <v>46195.00482638889</v>
      </c>
      <c r="C227" t="inlineStr">
        <is>
          <t>VIJAY TRADERS</t>
        </is>
      </c>
      <c r="D227" t="inlineStr">
        <is>
          <t>BAREILLY</t>
        </is>
      </c>
      <c r="E227" t="inlineStr">
        <is>
          <t>UP25CT2572</t>
        </is>
      </c>
      <c r="F227">
        <f>IF(E227="","",XLOOKUP(E227,'Master Data'!$E$5:$E$15,'Master Data'!$F$5:$F$15,""))</f>
        <v/>
      </c>
      <c r="G227" t="n">
        <v>25</v>
      </c>
      <c r="H227" s="9" t="n">
        <v>304</v>
      </c>
      <c r="I227" s="9">
        <f>IF(OR(G227="",H227=""),"",G227*H227)</f>
        <v/>
      </c>
      <c r="J227" s="9" t="n">
        <v>3000</v>
      </c>
      <c r="K227" s="9" t="n">
        <v>1500</v>
      </c>
      <c r="L227" s="9">
        <f>IF(I227="","",I227-IF(J227="",0,J227)-IF(K227="",0,K227))</f>
        <v/>
      </c>
      <c r="M227" s="9">
        <f>IF(E227="","",XLOOKUP(E227,'Master Data'!$E$5:$E$15,'Master Data'!$G$5:$G$15,0))</f>
        <v/>
      </c>
      <c r="N227" s="9">
        <f>IF(E227="","",XLOOKUP(E227,'Master Data'!$E$5:$E$15,'Master Data'!$H$5:$H$15,0))</f>
        <v/>
      </c>
      <c r="O227" s="9">
        <f>IF(L227="","",L227-M227-N227)</f>
        <v/>
      </c>
      <c r="Q227" t="inlineStr">
        <is>
          <t>8 EPOD</t>
        </is>
      </c>
      <c r="S227" s="9" t="n"/>
    </row>
    <row r="228">
      <c r="A228" t="n">
        <v>236</v>
      </c>
      <c r="B228" s="8" t="n">
        <v>46194.79583333333</v>
      </c>
      <c r="C228" t="inlineStr">
        <is>
          <t>PAWAN TRADERS</t>
        </is>
      </c>
      <c r="D228" t="inlineStr">
        <is>
          <t>TISUA</t>
        </is>
      </c>
      <c r="E228" t="inlineStr">
        <is>
          <t>UP83T5121</t>
        </is>
      </c>
      <c r="F228">
        <f>IF(E228="","",XLOOKUP(E228,'Master Data'!$E$5:$E$15,'Master Data'!$F$5:$F$15,""))</f>
        <v/>
      </c>
      <c r="G228" t="n">
        <v>20</v>
      </c>
      <c r="H228" s="9" t="n">
        <v>194</v>
      </c>
      <c r="I228" s="9">
        <f>IF(OR(G228="",H228=""),"",G228*H228)</f>
        <v/>
      </c>
      <c r="J228" s="9" t="n"/>
      <c r="K228" s="9" t="n">
        <v>2000</v>
      </c>
      <c r="L228" s="9">
        <f>IF(I228="","",I228-IF(J228="",0,J228)-IF(K228="",0,K228))</f>
        <v/>
      </c>
      <c r="M228" s="9">
        <f>IF(E228="","",XLOOKUP(E228,'Master Data'!$E$5:$E$15,'Master Data'!$G$5:$G$15,0))</f>
        <v/>
      </c>
      <c r="N228" s="9">
        <f>IF(E228="","",XLOOKUP(E228,'Master Data'!$E$5:$E$15,'Master Data'!$H$5:$H$15,0))</f>
        <v/>
      </c>
      <c r="O228" s="9">
        <f>IF(L228="","",L228-M228-N228)</f>
        <v/>
      </c>
      <c r="Q228" t="inlineStr">
        <is>
          <t>10</t>
        </is>
      </c>
      <c r="S228" s="9" t="n"/>
    </row>
    <row r="229">
      <c r="A229" t="n">
        <v>239</v>
      </c>
      <c r="B229" s="8" t="n">
        <v>46194.83784722222</v>
      </c>
      <c r="C229" t="inlineStr">
        <is>
          <t>ALOK TRADERS</t>
        </is>
      </c>
      <c r="D229" t="inlineStr">
        <is>
          <t>BAREILLY</t>
        </is>
      </c>
      <c r="E229" t="inlineStr">
        <is>
          <t>UP25DT5668</t>
        </is>
      </c>
      <c r="F229">
        <f>IF(E229="","",XLOOKUP(E229,'Master Data'!$E$5:$E$15,'Master Data'!$F$5:$F$15,""))</f>
        <v/>
      </c>
      <c r="G229" t="n">
        <v>25</v>
      </c>
      <c r="H229" s="9" t="n">
        <v>304</v>
      </c>
      <c r="I229" s="9">
        <f>IF(OR(G229="",H229=""),"",G229*H229)</f>
        <v/>
      </c>
      <c r="J229" s="9" t="n"/>
      <c r="K229" s="9" t="n"/>
      <c r="L229" s="9">
        <f>IF(I229="","",I229-IF(J229="",0,J229)-IF(K229="",0,K229))</f>
        <v/>
      </c>
      <c r="M229" s="9">
        <f>IF(E229="","",XLOOKUP(E229,'Master Data'!$E$5:$E$15,'Master Data'!$G$5:$G$15,0))</f>
        <v/>
      </c>
      <c r="N229" s="9">
        <f>IF(E229="","",XLOOKUP(E229,'Master Data'!$E$5:$E$15,'Master Data'!$H$5:$H$15,0))</f>
        <v/>
      </c>
      <c r="O229" s="9">
        <f>IF(L229="","",L229-M229-N229)</f>
        <v/>
      </c>
      <c r="P229" t="inlineStr">
        <is>
          <t>YES</t>
        </is>
      </c>
      <c r="Q229" t="inlineStr">
        <is>
          <t>9 EPOD</t>
        </is>
      </c>
      <c r="S229" s="9" t="n"/>
    </row>
    <row r="230">
      <c r="A230" t="n">
        <v>237</v>
      </c>
      <c r="B230" s="8" t="n">
        <v>46195.12971064815</v>
      </c>
      <c r="C230" t="inlineStr">
        <is>
          <t>MITTAL FERTILIZERS</t>
        </is>
      </c>
      <c r="D230" t="inlineStr">
        <is>
          <t>FAREEDPUR</t>
        </is>
      </c>
      <c r="E230" t="inlineStr">
        <is>
          <t>UP25BT2915</t>
        </is>
      </c>
      <c r="F230">
        <f>IF(E230="","",XLOOKUP(E230,'Master Data'!$E$5:$E$15,'Master Data'!$F$5:$F$15,""))</f>
        <v/>
      </c>
      <c r="G230" t="n">
        <v>10</v>
      </c>
      <c r="H230" s="9" t="n">
        <v>206</v>
      </c>
      <c r="I230" s="9">
        <f>IF(OR(G230="",H230=""),"",G230*H230)</f>
        <v/>
      </c>
      <c r="J230" s="9" t="n"/>
      <c r="K230" s="9" t="n"/>
      <c r="L230" s="9">
        <f>IF(I230="","",I230-IF(J230="",0,J230)-IF(K230="",0,K230))</f>
        <v/>
      </c>
      <c r="M230" s="9">
        <f>IF(E230="","",XLOOKUP(E230,'Master Data'!$E$5:$E$15,'Master Data'!$G$5:$G$15,0))</f>
        <v/>
      </c>
      <c r="N230" s="9">
        <f>IF(E230="","",XLOOKUP(E230,'Master Data'!$E$5:$E$15,'Master Data'!$H$5:$H$15,0))</f>
        <v/>
      </c>
      <c r="O230" s="9">
        <f>IF(L230="","",L230-M230-N230)</f>
        <v/>
      </c>
      <c r="P230" t="inlineStr">
        <is>
          <t>YES</t>
        </is>
      </c>
      <c r="S230" s="9" t="n"/>
    </row>
    <row r="231">
      <c r="A231" t="n">
        <v>238</v>
      </c>
      <c r="B231" s="8" t="n">
        <v>46195.12981481481</v>
      </c>
      <c r="C231" t="inlineStr">
        <is>
          <t>MITTAL FERTILIZERS</t>
        </is>
      </c>
      <c r="D231" t="inlineStr">
        <is>
          <t>FAREEDPUR</t>
        </is>
      </c>
      <c r="E231" t="inlineStr">
        <is>
          <t>UP25BT2915</t>
        </is>
      </c>
      <c r="F231">
        <f>IF(E231="","",XLOOKUP(E231,'Master Data'!$E$5:$E$15,'Master Data'!$F$5:$F$15,""))</f>
        <v/>
      </c>
      <c r="G231" t="n">
        <v>15</v>
      </c>
      <c r="H231" s="9" t="n">
        <v>206</v>
      </c>
      <c r="I231" s="9">
        <f>IF(OR(G231="",H231=""),"",G231*H231)</f>
        <v/>
      </c>
      <c r="J231" s="9" t="n"/>
      <c r="K231" s="9" t="n"/>
      <c r="L231" s="9">
        <f>IF(I231="","",I231-IF(J231="",0,J231)-IF(K231="",0,K231))</f>
        <v/>
      </c>
      <c r="M231" s="9">
        <f>IF(E231="","",XLOOKUP(E231,'Master Data'!$E$5:$E$15,'Master Data'!$G$5:$G$15,0))</f>
        <v/>
      </c>
      <c r="N231" s="9">
        <f>IF(E231="","",XLOOKUP(E231,'Master Data'!$E$5:$E$15,'Master Data'!$H$5:$H$15,0))</f>
        <v/>
      </c>
      <c r="O231" s="9">
        <f>IF(L231="","",L231-M231-N231)</f>
        <v/>
      </c>
      <c r="P231" t="inlineStr">
        <is>
          <t>YES</t>
        </is>
      </c>
      <c r="S231" s="9" t="n"/>
    </row>
    <row r="232">
      <c r="A232" t="n">
        <v>240</v>
      </c>
      <c r="B232" s="8" t="n">
        <v>46195.08802083333</v>
      </c>
      <c r="C232" t="inlineStr">
        <is>
          <t>J T STEEL TRADERS</t>
        </is>
      </c>
      <c r="D232" t="inlineStr">
        <is>
          <t>SHAHJHANPUR</t>
        </is>
      </c>
      <c r="E232" t="inlineStr">
        <is>
          <t>UP25JT8803</t>
        </is>
      </c>
      <c r="F232">
        <f>IF(E232="","",XLOOKUP(E232,'Master Data'!$E$5:$E$15,'Master Data'!$F$5:$F$15,""))</f>
        <v/>
      </c>
      <c r="G232" t="n">
        <v>13</v>
      </c>
      <c r="H232" s="9" t="n">
        <v>423</v>
      </c>
      <c r="I232" s="9">
        <f>IF(OR(G232="",H232=""),"",G232*H232)</f>
        <v/>
      </c>
      <c r="J232" s="9" t="n">
        <v>2000</v>
      </c>
      <c r="K232" s="9" t="n">
        <v>1000</v>
      </c>
      <c r="L232" s="9">
        <f>IF(I232="","",I232-IF(J232="",0,J232)-IF(K232="",0,K232))</f>
        <v/>
      </c>
      <c r="M232" s="9">
        <f>IF(E232="","",XLOOKUP(E232,'Master Data'!$E$5:$E$15,'Master Data'!$G$5:$G$15,0))</f>
        <v/>
      </c>
      <c r="N232" s="9">
        <f>IF(E232="","",XLOOKUP(E232,'Master Data'!$E$5:$E$15,'Master Data'!$H$5:$H$15,0))</f>
        <v/>
      </c>
      <c r="O232" s="9">
        <f>IF(L232="","",L232-M232-N232)</f>
        <v/>
      </c>
      <c r="Q232" t="inlineStr">
        <is>
          <t>11</t>
        </is>
      </c>
      <c r="S232" s="9" t="n"/>
    </row>
    <row r="233">
      <c r="A233" t="n">
        <v>241</v>
      </c>
      <c r="B233" s="8" t="n">
        <v>46195.00479166667</v>
      </c>
      <c r="C233" t="inlineStr">
        <is>
          <t>SHYAM NARAIN RAMESH KUMAR AND  SONS</t>
        </is>
      </c>
      <c r="D233" t="inlineStr">
        <is>
          <t>BAREILLY</t>
        </is>
      </c>
      <c r="E233" t="inlineStr">
        <is>
          <t>UP25CT4514</t>
        </is>
      </c>
      <c r="F233">
        <f>IF(E233="","",XLOOKUP(E233,'Master Data'!$E$5:$E$15,'Master Data'!$F$5:$F$15,""))</f>
        <v/>
      </c>
      <c r="G233" t="n">
        <v>25</v>
      </c>
      <c r="H233" s="9" t="n">
        <v>304</v>
      </c>
      <c r="I233" s="9">
        <f>IF(OR(G233="",H233=""),"",G233*H233)</f>
        <v/>
      </c>
      <c r="J233" s="9" t="n"/>
      <c r="K233" s="9" t="n">
        <v>3500</v>
      </c>
      <c r="L233" s="9">
        <f>IF(I233="","",I233-IF(J233="",0,J233)-IF(K233="",0,K233))</f>
        <v/>
      </c>
      <c r="M233" s="9">
        <f>IF(E233="","",XLOOKUP(E233,'Master Data'!$E$5:$E$15,'Master Data'!$G$5:$G$15,0))</f>
        <v/>
      </c>
      <c r="N233" s="9">
        <f>IF(E233="","",XLOOKUP(E233,'Master Data'!$E$5:$E$15,'Master Data'!$H$5:$H$15,0))</f>
        <v/>
      </c>
      <c r="O233" s="9">
        <f>IF(L233="","",L233-M233-N233)</f>
        <v/>
      </c>
      <c r="Q233" t="inlineStr">
        <is>
          <t>11</t>
        </is>
      </c>
      <c r="S233" s="9" t="n"/>
    </row>
    <row r="234">
      <c r="A234" t="n">
        <v>247</v>
      </c>
      <c r="B234" s="8" t="n">
        <v>46195.08810185185</v>
      </c>
      <c r="C234" t="inlineStr">
        <is>
          <t>SINGH TRADERS</t>
        </is>
      </c>
      <c r="D234" t="inlineStr">
        <is>
          <t>LAKHIMPUR</t>
        </is>
      </c>
      <c r="E234" t="inlineStr">
        <is>
          <t>UP25DT1881</t>
        </is>
      </c>
      <c r="F234">
        <f>IF(E234="","",XLOOKUP(E234,'Master Data'!$E$5:$E$15,'Master Data'!$F$5:$F$15,""))</f>
        <v/>
      </c>
      <c r="G234" t="n">
        <v>5</v>
      </c>
      <c r="H234" s="9" t="n">
        <v>448</v>
      </c>
      <c r="I234" s="9">
        <f>IF(OR(G234="",H234=""),"",G234*H234)</f>
        <v/>
      </c>
      <c r="J234" s="9" t="n"/>
      <c r="K234" s="9" t="n"/>
      <c r="L234" s="9">
        <f>IF(I234="","",I234-IF(J234="",0,J234)-IF(K234="",0,K234))</f>
        <v/>
      </c>
      <c r="M234" s="9">
        <f>IF(E234="","",XLOOKUP(E234,'Master Data'!$E$5:$E$15,'Master Data'!$G$5:$G$15,0))</f>
        <v/>
      </c>
      <c r="N234" s="9">
        <f>IF(E234="","",XLOOKUP(E234,'Master Data'!$E$5:$E$15,'Master Data'!$H$5:$H$15,0))</f>
        <v/>
      </c>
      <c r="O234" s="9">
        <f>IF(L234="","",L234-M234-N234)</f>
        <v/>
      </c>
      <c r="P234" t="inlineStr">
        <is>
          <t>YES</t>
        </is>
      </c>
      <c r="Q234" t="inlineStr">
        <is>
          <t>9 EPOD</t>
        </is>
      </c>
      <c r="S234" s="9" t="n"/>
    </row>
    <row r="235">
      <c r="A235" t="n">
        <v>246</v>
      </c>
      <c r="B235" s="8" t="n">
        <v>46195.08775462963</v>
      </c>
      <c r="C235" t="inlineStr">
        <is>
          <t>SINGH TRADERS</t>
        </is>
      </c>
      <c r="D235" t="inlineStr">
        <is>
          <t>LAKHIMPUR</t>
        </is>
      </c>
      <c r="E235" t="inlineStr">
        <is>
          <t>UP25DT1881</t>
        </is>
      </c>
      <c r="F235">
        <f>IF(E235="","",XLOOKUP(E235,'Master Data'!$E$5:$E$15,'Master Data'!$F$5:$F$15,""))</f>
        <v/>
      </c>
      <c r="G235" t="n">
        <v>15</v>
      </c>
      <c r="H235" s="9" t="n">
        <v>448</v>
      </c>
      <c r="I235" s="9">
        <f>IF(OR(G235="",H235=""),"",G235*H235)</f>
        <v/>
      </c>
      <c r="J235" s="9" t="n"/>
      <c r="K235" s="9" t="n"/>
      <c r="L235" s="9">
        <f>IF(I235="","",I235-IF(J235="",0,J235)-IF(K235="",0,K235))</f>
        <v/>
      </c>
      <c r="M235" s="9">
        <f>IF(E235="","",XLOOKUP(E235,'Master Data'!$E$5:$E$15,'Master Data'!$G$5:$G$15,0))</f>
        <v/>
      </c>
      <c r="N235" s="9">
        <f>IF(E235="","",XLOOKUP(E235,'Master Data'!$E$5:$E$15,'Master Data'!$H$5:$H$15,0))</f>
        <v/>
      </c>
      <c r="O235" s="9">
        <f>IF(L235="","",L235-M235-N235)</f>
        <v/>
      </c>
      <c r="P235" t="inlineStr">
        <is>
          <t>YES</t>
        </is>
      </c>
      <c r="Q235" t="inlineStr">
        <is>
          <t>9 EPOD</t>
        </is>
      </c>
      <c r="S235" s="9" t="n"/>
    </row>
    <row r="236">
      <c r="A236" t="n">
        <v>245</v>
      </c>
      <c r="B236" s="8" t="n">
        <v>46195.08809027778</v>
      </c>
      <c r="C236" t="inlineStr">
        <is>
          <t>SINGH TRADERS</t>
        </is>
      </c>
      <c r="D236" t="inlineStr">
        <is>
          <t>LAKHIMPUR</t>
        </is>
      </c>
      <c r="E236" t="inlineStr">
        <is>
          <t>UP25DT1881</t>
        </is>
      </c>
      <c r="F236">
        <f>IF(E236="","",XLOOKUP(E236,'Master Data'!$E$5:$E$15,'Master Data'!$F$5:$F$15,""))</f>
        <v/>
      </c>
      <c r="G236" t="n">
        <v>15</v>
      </c>
      <c r="H236" s="9" t="n">
        <v>448</v>
      </c>
      <c r="I236" s="9">
        <f>IF(OR(G236="",H236=""),"",G236*H236)</f>
        <v/>
      </c>
      <c r="J236" s="9" t="n"/>
      <c r="K236" s="9" t="n"/>
      <c r="L236" s="9">
        <f>IF(I236="","",I236-IF(J236="",0,J236)-IF(K236="",0,K236))</f>
        <v/>
      </c>
      <c r="M236" s="9">
        <f>IF(E236="","",XLOOKUP(E236,'Master Data'!$E$5:$E$15,'Master Data'!$G$5:$G$15,0))</f>
        <v/>
      </c>
      <c r="N236" s="9">
        <f>IF(E236="","",XLOOKUP(E236,'Master Data'!$E$5:$E$15,'Master Data'!$H$5:$H$15,0))</f>
        <v/>
      </c>
      <c r="O236" s="9">
        <f>IF(L236="","",L236-M236-N236)</f>
        <v/>
      </c>
      <c r="P236" t="inlineStr">
        <is>
          <t>YES</t>
        </is>
      </c>
      <c r="Q236" t="inlineStr">
        <is>
          <t>9 EPOD</t>
        </is>
      </c>
      <c r="S236" s="9" t="n"/>
    </row>
    <row r="237">
      <c r="A237" t="n">
        <v>244</v>
      </c>
      <c r="B237" s="8" t="n">
        <v>46195.21266203704</v>
      </c>
      <c r="C237" t="inlineStr">
        <is>
          <t>OM PRAKASH KAMAL KUMAR</t>
        </is>
      </c>
      <c r="D237" t="inlineStr">
        <is>
          <t>KANNAUJ</t>
        </is>
      </c>
      <c r="E237" t="inlineStr">
        <is>
          <t>UP25CT7099</t>
        </is>
      </c>
      <c r="F237">
        <f>IF(E237="","",XLOOKUP(E237,'Master Data'!$E$5:$E$15,'Master Data'!$F$5:$F$15,""))</f>
        <v/>
      </c>
      <c r="G237" t="n">
        <v>10</v>
      </c>
      <c r="H237" s="9" t="n">
        <v>501</v>
      </c>
      <c r="I237" s="9">
        <f>IF(OR(G237="",H237=""),"",G237*H237)</f>
        <v/>
      </c>
      <c r="J237" s="9" t="n">
        <v>6000</v>
      </c>
      <c r="K237" s="9" t="n">
        <v>2000</v>
      </c>
      <c r="L237" s="9">
        <f>IF(I237="","",I237-IF(J237="",0,J237)-IF(K237="",0,K237))</f>
        <v/>
      </c>
      <c r="M237" s="9">
        <f>IF(E237="","",XLOOKUP(E237,'Master Data'!$E$5:$E$15,'Master Data'!$G$5:$G$15,0))</f>
        <v/>
      </c>
      <c r="N237" s="9">
        <f>IF(E237="","",XLOOKUP(E237,'Master Data'!$E$5:$E$15,'Master Data'!$H$5:$H$15,0))</f>
        <v/>
      </c>
      <c r="O237" s="9">
        <f>IF(L237="","",L237-M237-N237)</f>
        <v/>
      </c>
      <c r="Q237" t="inlineStr">
        <is>
          <t>11</t>
        </is>
      </c>
      <c r="S237" s="9" t="n"/>
    </row>
    <row r="238">
      <c r="A238" t="n">
        <v>243</v>
      </c>
      <c r="B238" s="8" t="n">
        <v>46195.21300925926</v>
      </c>
      <c r="C238" t="inlineStr">
        <is>
          <t>OM PRAKASH KAMAL KUMAR</t>
        </is>
      </c>
      <c r="D238" t="inlineStr">
        <is>
          <t>KANNAUJ</t>
        </is>
      </c>
      <c r="E238" t="inlineStr">
        <is>
          <t>UP25CT7099</t>
        </is>
      </c>
      <c r="F238">
        <f>IF(E238="","",XLOOKUP(E238,'Master Data'!$E$5:$E$15,'Master Data'!$F$5:$F$15,""))</f>
        <v/>
      </c>
      <c r="G238" t="n">
        <v>10</v>
      </c>
      <c r="H238" s="9" t="n">
        <v>501</v>
      </c>
      <c r="I238" s="9">
        <f>IF(OR(G238="",H238=""),"",G238*H238)</f>
        <v/>
      </c>
      <c r="J238" s="9" t="n"/>
      <c r="K238" s="9" t="n"/>
      <c r="L238" s="9">
        <f>IF(I238="","",I238-IF(J238="",0,J238)-IF(K238="",0,K238))</f>
        <v/>
      </c>
      <c r="M238" s="9">
        <f>IF(E238="","",XLOOKUP(E238,'Master Data'!$E$5:$E$15,'Master Data'!$G$5:$G$15,0))</f>
        <v/>
      </c>
      <c r="N238" s="9">
        <f>IF(E238="","",XLOOKUP(E238,'Master Data'!$E$5:$E$15,'Master Data'!$H$5:$H$15,0))</f>
        <v/>
      </c>
      <c r="O238" s="9">
        <f>IF(L238="","",L238-M238-N238)</f>
        <v/>
      </c>
      <c r="Q238" t="inlineStr">
        <is>
          <t>11</t>
        </is>
      </c>
      <c r="S238" s="9" t="n"/>
    </row>
    <row r="239">
      <c r="A239" t="n">
        <v>242</v>
      </c>
      <c r="B239" s="8" t="n">
        <v>46195.21261574074</v>
      </c>
      <c r="C239" t="inlineStr">
        <is>
          <t>OM PRAKASH KAMAL KUMAR</t>
        </is>
      </c>
      <c r="D239" t="inlineStr">
        <is>
          <t>KANNAUJ</t>
        </is>
      </c>
      <c r="E239" t="inlineStr">
        <is>
          <t>UP25CT7099</t>
        </is>
      </c>
      <c r="F239">
        <f>IF(E239="","",XLOOKUP(E239,'Master Data'!$E$5:$E$15,'Master Data'!$F$5:$F$15,""))</f>
        <v/>
      </c>
      <c r="G239" t="n">
        <v>10</v>
      </c>
      <c r="H239" s="9" t="n">
        <v>501</v>
      </c>
      <c r="I239" s="9">
        <f>IF(OR(G239="",H239=""),"",G239*H239)</f>
        <v/>
      </c>
      <c r="J239" s="9" t="n"/>
      <c r="K239" s="9" t="n"/>
      <c r="L239" s="9">
        <f>IF(I239="","",I239-IF(J239="",0,J239)-IF(K239="",0,K239))</f>
        <v/>
      </c>
      <c r="M239" s="9">
        <f>IF(E239="","",XLOOKUP(E239,'Master Data'!$E$5:$E$15,'Master Data'!$G$5:$G$15,0))</f>
        <v/>
      </c>
      <c r="N239" s="9">
        <f>IF(E239="","",XLOOKUP(E239,'Master Data'!$E$5:$E$15,'Master Data'!$H$5:$H$15,0))</f>
        <v/>
      </c>
      <c r="O239" s="9">
        <f>IF(L239="","",L239-M239-N239)</f>
        <v/>
      </c>
      <c r="Q239" t="inlineStr">
        <is>
          <t>11</t>
        </is>
      </c>
      <c r="S239" s="9" t="n"/>
    </row>
    <row r="240">
      <c r="A240" t="n">
        <v>248</v>
      </c>
      <c r="B240" s="8" t="n">
        <v>46195.71311342593</v>
      </c>
      <c r="C240" t="inlineStr">
        <is>
          <t>NAVEEN LOHA BHANDAR</t>
        </is>
      </c>
      <c r="D240" t="inlineStr">
        <is>
          <t>TUMURKHI</t>
        </is>
      </c>
      <c r="E240" t="inlineStr">
        <is>
          <t>UP25JT8804</t>
        </is>
      </c>
      <c r="F240">
        <f>IF(E240="","",XLOOKUP(E240,'Master Data'!$E$5:$E$15,'Master Data'!$F$5:$F$15,""))</f>
        <v/>
      </c>
      <c r="G240" t="n">
        <v>13</v>
      </c>
      <c r="H240" s="9" t="n">
        <v>473</v>
      </c>
      <c r="I240" s="9">
        <f>IF(OR(G240="",H240=""),"",G240*H240)</f>
        <v/>
      </c>
      <c r="J240" s="9" t="n">
        <v>2000</v>
      </c>
      <c r="K240" s="9" t="n">
        <v>1000</v>
      </c>
      <c r="L240" s="9">
        <f>IF(I240="","",I240-IF(J240="",0,J240)-IF(K240="",0,K240))</f>
        <v/>
      </c>
      <c r="M240" s="9">
        <f>IF(E240="","",XLOOKUP(E240,'Master Data'!$E$5:$E$15,'Master Data'!$G$5:$G$15,0))</f>
        <v/>
      </c>
      <c r="N240" s="9">
        <f>IF(E240="","",XLOOKUP(E240,'Master Data'!$E$5:$E$15,'Master Data'!$H$5:$H$15,0))</f>
        <v/>
      </c>
      <c r="O240" s="9">
        <f>IF(L240="","",L240-M240-N240)</f>
        <v/>
      </c>
      <c r="P240" t="inlineStr">
        <is>
          <t>YES</t>
        </is>
      </c>
      <c r="S240" s="9" t="n"/>
    </row>
    <row r="241">
      <c r="A241" t="n">
        <v>251</v>
      </c>
      <c r="B241" s="8" t="n">
        <v>46195.79584490741</v>
      </c>
      <c r="C241" t="inlineStr">
        <is>
          <t>MAYA MARKETING AGENCY</t>
        </is>
      </c>
      <c r="D241" t="inlineStr">
        <is>
          <t>SHAHJHANPUR</t>
        </is>
      </c>
      <c r="E241" t="inlineStr">
        <is>
          <t>UP27AT5718</t>
        </is>
      </c>
      <c r="F241">
        <f>IF(E241="","",XLOOKUP(E241,'Master Data'!$E$5:$E$15,'Master Data'!$F$5:$F$15,""))</f>
        <v/>
      </c>
      <c r="G241" t="n">
        <v>18</v>
      </c>
      <c r="H241" s="9" t="n">
        <v>313</v>
      </c>
      <c r="I241" s="9">
        <f>IF(OR(G241="",H241=""),"",G241*H241)</f>
        <v/>
      </c>
      <c r="J241" s="9" t="n"/>
      <c r="K241" s="9" t="n">
        <v>4000</v>
      </c>
      <c r="L241" s="9">
        <f>IF(I241="","",I241-IF(J241="",0,J241)-IF(K241="",0,K241))</f>
        <v/>
      </c>
      <c r="M241" s="9">
        <f>IF(E241="","",XLOOKUP(E241,'Master Data'!$E$5:$E$15,'Master Data'!$G$5:$G$15,0))</f>
        <v/>
      </c>
      <c r="N241" s="9">
        <f>IF(E241="","",XLOOKUP(E241,'Master Data'!$E$5:$E$15,'Master Data'!$H$5:$H$15,0))</f>
        <v/>
      </c>
      <c r="O241" s="9">
        <f>IF(L241="","",L241-M241-N241)</f>
        <v/>
      </c>
      <c r="Q241" t="inlineStr">
        <is>
          <t>11</t>
        </is>
      </c>
      <c r="S241" s="9" t="n"/>
    </row>
    <row r="242">
      <c r="A242" t="n">
        <v>253</v>
      </c>
      <c r="B242" s="8" t="n">
        <v>46195.7130787037</v>
      </c>
      <c r="C242" t="inlineStr">
        <is>
          <t>MALIK TRADERS</t>
        </is>
      </c>
      <c r="D242" t="inlineStr">
        <is>
          <t>SHAHBAD (HARDOI)</t>
        </is>
      </c>
      <c r="E242" t="inlineStr">
        <is>
          <t>UP25JT8802</t>
        </is>
      </c>
      <c r="F242">
        <f>IF(E242="","",XLOOKUP(E242,'Master Data'!$E$5:$E$15,'Master Data'!$F$5:$F$15,""))</f>
        <v/>
      </c>
      <c r="G242" t="n">
        <v>13</v>
      </c>
      <c r="H242" s="9" t="n">
        <v>413</v>
      </c>
      <c r="I242" s="9">
        <f>IF(OR(G242="",H242=""),"",G242*H242)</f>
        <v/>
      </c>
      <c r="J242" s="9" t="n">
        <v>2000</v>
      </c>
      <c r="K242" s="9" t="n">
        <v>1000</v>
      </c>
      <c r="L242" s="9">
        <f>IF(I242="","",I242-IF(J242="",0,J242)-IF(K242="",0,K242))</f>
        <v/>
      </c>
      <c r="M242" s="9">
        <f>IF(E242="","",XLOOKUP(E242,'Master Data'!$E$5:$E$15,'Master Data'!$G$5:$G$15,0))</f>
        <v/>
      </c>
      <c r="N242" s="9">
        <f>IF(E242="","",XLOOKUP(E242,'Master Data'!$E$5:$E$15,'Master Data'!$H$5:$H$15,0))</f>
        <v/>
      </c>
      <c r="O242" s="9">
        <f>IF(L242="","",L242-M242-N242)</f>
        <v/>
      </c>
      <c r="P242" t="inlineStr">
        <is>
          <t>YES</t>
        </is>
      </c>
      <c r="S242" s="9" t="n"/>
    </row>
    <row r="243">
      <c r="A243" t="n">
        <v>252</v>
      </c>
      <c r="B243" s="8" t="n">
        <v>46195.62934027778</v>
      </c>
      <c r="C243" t="inlineStr">
        <is>
          <t>ALOK TRADERS</t>
        </is>
      </c>
      <c r="D243" t="inlineStr">
        <is>
          <t>BAREILLY</t>
        </is>
      </c>
      <c r="E243" t="inlineStr">
        <is>
          <t>UP25DT8397</t>
        </is>
      </c>
      <c r="F243">
        <f>IF(E243="","",XLOOKUP(E243,'Master Data'!$E$5:$E$15,'Master Data'!$F$5:$F$15,""))</f>
        <v/>
      </c>
      <c r="G243" t="n">
        <v>25</v>
      </c>
      <c r="H243" s="9" t="n">
        <v>304</v>
      </c>
      <c r="I243" s="9">
        <f>IF(OR(G243="",H243=""),"",G243*H243)</f>
        <v/>
      </c>
      <c r="J243" s="9" t="n">
        <v>3000</v>
      </c>
      <c r="K243" s="9" t="n">
        <v>1500</v>
      </c>
      <c r="L243" s="9">
        <f>IF(I243="","",I243-IF(J243="",0,J243)-IF(K243="",0,K243))</f>
        <v/>
      </c>
      <c r="M243" s="9">
        <f>IF(E243="","",XLOOKUP(E243,'Master Data'!$E$5:$E$15,'Master Data'!$G$5:$G$15,0))</f>
        <v/>
      </c>
      <c r="N243" s="9">
        <f>IF(E243="","",XLOOKUP(E243,'Master Data'!$E$5:$E$15,'Master Data'!$H$5:$H$15,0))</f>
        <v/>
      </c>
      <c r="O243" s="9">
        <f>IF(L243="","",L243-M243-N243)</f>
        <v/>
      </c>
      <c r="P243" t="inlineStr">
        <is>
          <t>YES</t>
        </is>
      </c>
      <c r="Q243" t="inlineStr">
        <is>
          <t>9 EPOD</t>
        </is>
      </c>
      <c r="S243" s="9" t="n"/>
    </row>
    <row r="244">
      <c r="A244" t="n">
        <v>254</v>
      </c>
      <c r="B244" s="8" t="n">
        <v>46195.67135416667</v>
      </c>
      <c r="C244" t="inlineStr">
        <is>
          <t>NEW JAI AMBEY TRADERS</t>
        </is>
      </c>
      <c r="D244" t="inlineStr">
        <is>
          <t>KESHARPUR</t>
        </is>
      </c>
      <c r="E244" t="inlineStr">
        <is>
          <t>UP25BT2915</t>
        </is>
      </c>
      <c r="F244">
        <f>IF(E244="","",XLOOKUP(E244,'Master Data'!$E$5:$E$15,'Master Data'!$F$5:$F$15,""))</f>
        <v/>
      </c>
      <c r="G244" t="n">
        <v>25</v>
      </c>
      <c r="H244" s="9" t="n">
        <v>281</v>
      </c>
      <c r="I244" s="9">
        <f>IF(OR(G244="",H244=""),"",G244*H244)</f>
        <v/>
      </c>
      <c r="J244" s="9" t="n"/>
      <c r="K244" s="9" t="n">
        <v>4000</v>
      </c>
      <c r="L244" s="9">
        <f>IF(I244="","",I244-IF(J244="",0,J244)-IF(K244="",0,K244))</f>
        <v/>
      </c>
      <c r="M244" s="9">
        <f>IF(E244="","",XLOOKUP(E244,'Master Data'!$E$5:$E$15,'Master Data'!$G$5:$G$15,0))</f>
        <v/>
      </c>
      <c r="N244" s="9">
        <f>IF(E244="","",XLOOKUP(E244,'Master Data'!$E$5:$E$15,'Master Data'!$H$5:$H$15,0))</f>
        <v/>
      </c>
      <c r="O244" s="9">
        <f>IF(L244="","",L244-M244-N244)</f>
        <v/>
      </c>
      <c r="Q244" t="inlineStr">
        <is>
          <t>10</t>
        </is>
      </c>
      <c r="S244" s="9" t="n"/>
    </row>
    <row r="245">
      <c r="A245" t="n">
        <v>255</v>
      </c>
      <c r="B245" s="8" t="n">
        <v>46195</v>
      </c>
      <c r="C245" t="n">
        <v/>
      </c>
      <c r="D245" t="inlineStr">
        <is>
          <t>KACHAUNA PATSENI</t>
        </is>
      </c>
      <c r="E245" t="inlineStr">
        <is>
          <t>UP26T1707</t>
        </is>
      </c>
      <c r="F245">
        <f>IF(E245="","",XLOOKUP(E245,'Master Data'!$E$5:$E$15,'Master Data'!$F$5:$F$15,""))</f>
        <v/>
      </c>
      <c r="G245" t="n">
        <v>12.5</v>
      </c>
      <c r="H245" s="9" t="n">
        <v>495</v>
      </c>
      <c r="I245" s="9">
        <f>IF(OR(G245="",H245=""),"",G245*H245)</f>
        <v/>
      </c>
      <c r="J245" s="9" t="n">
        <v>7000</v>
      </c>
      <c r="K245" s="9" t="n">
        <v>1500</v>
      </c>
      <c r="L245" s="9">
        <f>IF(I245="","",I245-IF(J245="",0,J245)-IF(K245="",0,K245))</f>
        <v/>
      </c>
      <c r="M245" s="9">
        <f>IF(E245="","",XLOOKUP(E245,'Master Data'!$E$5:$E$15,'Master Data'!$G$5:$G$15,0))</f>
        <v/>
      </c>
      <c r="N245" s="9">
        <f>IF(E245="","",XLOOKUP(E245,'Master Data'!$E$5:$E$15,'Master Data'!$H$5:$H$15,0))</f>
        <v/>
      </c>
      <c r="O245" s="9">
        <f>IF(L245="","",L245-M245-N245)</f>
        <v/>
      </c>
      <c r="P245" t="inlineStr">
        <is>
          <t>YES</t>
        </is>
      </c>
      <c r="S245" s="9" t="n"/>
    </row>
    <row r="246">
      <c r="A246" t="n">
        <v>256</v>
      </c>
      <c r="B246" s="8" t="n">
        <v>46195</v>
      </c>
      <c r="C246" t="n">
        <v/>
      </c>
      <c r="D246" t="inlineStr">
        <is>
          <t>KACHAUNA PATSENI</t>
        </is>
      </c>
      <c r="E246" t="inlineStr">
        <is>
          <t>UP26T1707</t>
        </is>
      </c>
      <c r="F246">
        <f>IF(E246="","",XLOOKUP(E246,'Master Data'!$E$5:$E$15,'Master Data'!$F$5:$F$15,""))</f>
        <v/>
      </c>
      <c r="G246" t="n">
        <v>12.5</v>
      </c>
      <c r="H246" s="9" t="n">
        <v>495</v>
      </c>
      <c r="I246" s="9">
        <f>IF(OR(G246="",H246=""),"",G246*H246)</f>
        <v/>
      </c>
      <c r="J246" s="9" t="n"/>
      <c r="K246" s="9" t="n"/>
      <c r="L246" s="9">
        <f>IF(I246="","",I246-IF(J246="",0,J246)-IF(K246="",0,K246))</f>
        <v/>
      </c>
      <c r="M246" s="9">
        <f>IF(E246="","",XLOOKUP(E246,'Master Data'!$E$5:$E$15,'Master Data'!$G$5:$G$15,0))</f>
        <v/>
      </c>
      <c r="N246" s="9">
        <f>IF(E246="","",XLOOKUP(E246,'Master Data'!$E$5:$E$15,'Master Data'!$H$5:$H$15,0))</f>
        <v/>
      </c>
      <c r="O246" s="9">
        <f>IF(L246="","",L246-M246-N246)</f>
        <v/>
      </c>
      <c r="P246" t="inlineStr">
        <is>
          <t>YES</t>
        </is>
      </c>
      <c r="S246" s="9" t="n"/>
    </row>
    <row r="247">
      <c r="A247" t="n">
        <v>257</v>
      </c>
      <c r="B247" s="8" t="n">
        <v>46195.96313657407</v>
      </c>
      <c r="C247" t="inlineStr">
        <is>
          <t>JANTA CEMENT AGENCY</t>
        </is>
      </c>
      <c r="D247" t="inlineStr">
        <is>
          <t>RUDEINA GHANGHOLI</t>
        </is>
      </c>
      <c r="E247" t="inlineStr">
        <is>
          <t>UP27T0919</t>
        </is>
      </c>
      <c r="F247">
        <f>IF(E247="","",XLOOKUP(E247,'Master Data'!$E$5:$E$15,'Master Data'!$F$5:$F$15,""))</f>
        <v/>
      </c>
      <c r="G247" t="n">
        <v>10</v>
      </c>
      <c r="H247" s="9" t="n">
        <v>455</v>
      </c>
      <c r="I247" s="9">
        <f>IF(OR(G247="",H247=""),"",G247*H247)</f>
        <v/>
      </c>
      <c r="J247" s="9" t="n">
        <v>5000</v>
      </c>
      <c r="K247" s="9" t="n">
        <v>1500</v>
      </c>
      <c r="L247" s="9">
        <f>IF(I247="","",I247-IF(J247="",0,J247)-IF(K247="",0,K247))</f>
        <v/>
      </c>
      <c r="M247" s="9">
        <f>IF(E247="","",XLOOKUP(E247,'Master Data'!$E$5:$E$15,'Master Data'!$G$5:$G$15,0))</f>
        <v/>
      </c>
      <c r="N247" s="9">
        <f>IF(E247="","",XLOOKUP(E247,'Master Data'!$E$5:$E$15,'Master Data'!$H$5:$H$15,0))</f>
        <v/>
      </c>
      <c r="O247" s="9">
        <f>IF(L247="","",L247-M247-N247)</f>
        <v/>
      </c>
      <c r="Q247" t="inlineStr">
        <is>
          <t>8 EPOD</t>
        </is>
      </c>
      <c r="S247" s="9" t="n"/>
    </row>
    <row r="248">
      <c r="A248" t="n">
        <v>258</v>
      </c>
      <c r="B248" s="8" t="n">
        <v>46195.96259259259</v>
      </c>
      <c r="C248" t="inlineStr">
        <is>
          <t>JANTA CEMENT AGENCY</t>
        </is>
      </c>
      <c r="D248" t="inlineStr">
        <is>
          <t>BILSI</t>
        </is>
      </c>
      <c r="E248" t="inlineStr">
        <is>
          <t>UP27T0919</t>
        </is>
      </c>
      <c r="F248">
        <f>IF(E248="","",XLOOKUP(E248,'Master Data'!$E$5:$E$15,'Master Data'!$F$5:$F$15,""))</f>
        <v/>
      </c>
      <c r="G248" t="n">
        <v>10</v>
      </c>
      <c r="H248" s="9" t="n">
        <v>455</v>
      </c>
      <c r="I248" s="9">
        <f>IF(OR(G248="",H248=""),"",G248*H248)</f>
        <v/>
      </c>
      <c r="J248" s="9" t="n"/>
      <c r="K248" s="9" t="n"/>
      <c r="L248" s="9">
        <f>IF(I248="","",I248-IF(J248="",0,J248)-IF(K248="",0,K248))</f>
        <v/>
      </c>
      <c r="M248" s="9">
        <f>IF(E248="","",XLOOKUP(E248,'Master Data'!$E$5:$E$15,'Master Data'!$G$5:$G$15,0))</f>
        <v/>
      </c>
      <c r="N248" s="9">
        <f>IF(E248="","",XLOOKUP(E248,'Master Data'!$E$5:$E$15,'Master Data'!$H$5:$H$15,0))</f>
        <v/>
      </c>
      <c r="O248" s="9">
        <f>IF(L248="","",L248-M248-N248)</f>
        <v/>
      </c>
      <c r="Q248" t="inlineStr">
        <is>
          <t>8 EPOD</t>
        </is>
      </c>
      <c r="S248" s="9" t="n"/>
    </row>
    <row r="249">
      <c r="A249" t="n">
        <v>259</v>
      </c>
      <c r="B249" s="8" t="n">
        <v>46195.67138888889</v>
      </c>
      <c r="C249" t="inlineStr">
        <is>
          <t>Devha Firm</t>
        </is>
      </c>
      <c r="D249" t="inlineStr">
        <is>
          <t>BISALPUR</t>
        </is>
      </c>
      <c r="E249" t="inlineStr">
        <is>
          <t>UP83T5121</t>
        </is>
      </c>
      <c r="F249">
        <f>IF(E249="","",XLOOKUP(E249,'Master Data'!$E$5:$E$15,'Master Data'!$F$5:$F$15,""))</f>
        <v/>
      </c>
      <c r="G249" t="n">
        <v>20</v>
      </c>
      <c r="H249" s="9" t="n">
        <v>322</v>
      </c>
      <c r="I249" s="9">
        <f>IF(OR(G249="",H249=""),"",G249*H249)</f>
        <v/>
      </c>
      <c r="J249" s="9" t="n"/>
      <c r="K249" s="9" t="n">
        <v>5000</v>
      </c>
      <c r="L249" s="9">
        <f>IF(I249="","",I249-IF(J249="",0,J249)-IF(K249="",0,K249))</f>
        <v/>
      </c>
      <c r="M249" s="9">
        <f>IF(E249="","",XLOOKUP(E249,'Master Data'!$E$5:$E$15,'Master Data'!$G$5:$G$15,0))</f>
        <v/>
      </c>
      <c r="N249" s="9">
        <f>IF(E249="","",XLOOKUP(E249,'Master Data'!$E$5:$E$15,'Master Data'!$H$5:$H$15,0))</f>
        <v/>
      </c>
      <c r="O249" s="9">
        <f>IF(L249="","",L249-M249-N249)</f>
        <v/>
      </c>
      <c r="Q249" t="inlineStr">
        <is>
          <t>10</t>
        </is>
      </c>
      <c r="S249" s="9" t="n"/>
    </row>
    <row r="250">
      <c r="A250" t="n">
        <v>260</v>
      </c>
      <c r="B250" s="8" t="n">
        <v>46195.75469907407</v>
      </c>
      <c r="C250" t="inlineStr">
        <is>
          <t>GARG CEMENT STORE</t>
        </is>
      </c>
      <c r="D250" t="inlineStr">
        <is>
          <t>Amaur</t>
        </is>
      </c>
      <c r="E250" t="inlineStr">
        <is>
          <t>UP25AT3048</t>
        </is>
      </c>
      <c r="F250">
        <f>IF(E250="","",XLOOKUP(E250,'Master Data'!$E$5:$E$15,'Master Data'!$F$5:$F$15,""))</f>
        <v/>
      </c>
      <c r="G250" t="n">
        <v>20</v>
      </c>
      <c r="H250" s="9" t="n">
        <v>377</v>
      </c>
      <c r="I250" s="9">
        <f>IF(OR(G250="",H250=""),"",G250*H250)</f>
        <v/>
      </c>
      <c r="J250" s="9" t="n">
        <v>4500</v>
      </c>
      <c r="K250" s="9" t="n">
        <v>1500</v>
      </c>
      <c r="L250" s="9">
        <f>IF(I250="","",I250-IF(J250="",0,J250)-IF(K250="",0,K250))</f>
        <v/>
      </c>
      <c r="M250" s="9">
        <f>IF(E250="","",XLOOKUP(E250,'Master Data'!$E$5:$E$15,'Master Data'!$G$5:$G$15,0))</f>
        <v/>
      </c>
      <c r="N250" s="9">
        <f>IF(E250="","",XLOOKUP(E250,'Master Data'!$E$5:$E$15,'Master Data'!$H$5:$H$15,0))</f>
        <v/>
      </c>
      <c r="O250" s="9">
        <f>IF(L250="","",L250-M250-N250)</f>
        <v/>
      </c>
      <c r="Q250" t="inlineStr">
        <is>
          <t>11</t>
        </is>
      </c>
      <c r="S250" s="9" t="n"/>
    </row>
    <row r="251">
      <c r="A251" t="n">
        <v>262</v>
      </c>
      <c r="B251" s="8" t="n">
        <v>46195.96298611111</v>
      </c>
      <c r="C251" t="inlineStr">
        <is>
          <t>GEETA TRADERS</t>
        </is>
      </c>
      <c r="D251" t="inlineStr">
        <is>
          <t>BILSANDA</t>
        </is>
      </c>
      <c r="E251" t="inlineStr">
        <is>
          <t>UP27BT0595</t>
        </is>
      </c>
      <c r="F251">
        <f>IF(E251="","",XLOOKUP(E251,'Master Data'!$E$5:$E$15,'Master Data'!$F$5:$F$15,""))</f>
        <v/>
      </c>
      <c r="G251" t="n">
        <v>12.5</v>
      </c>
      <c r="H251" s="9" t="n">
        <v>342</v>
      </c>
      <c r="I251" s="9">
        <f>IF(OR(G251="",H251=""),"",G251*H251)</f>
        <v/>
      </c>
      <c r="J251" s="9" t="n"/>
      <c r="K251" s="9" t="n">
        <v>5000</v>
      </c>
      <c r="L251" s="9">
        <f>IF(I251="","",I251-IF(J251="",0,J251)-IF(K251="",0,K251))</f>
        <v/>
      </c>
      <c r="M251" s="9">
        <f>IF(E251="","",XLOOKUP(E251,'Master Data'!$E$5:$E$15,'Master Data'!$G$5:$G$15,0))</f>
        <v/>
      </c>
      <c r="N251" s="9">
        <f>IF(E251="","",XLOOKUP(E251,'Master Data'!$E$5:$E$15,'Master Data'!$H$5:$H$15,0))</f>
        <v/>
      </c>
      <c r="O251" s="9">
        <f>IF(L251="","",L251-M251-N251)</f>
        <v/>
      </c>
      <c r="Q251" t="inlineStr">
        <is>
          <t>11</t>
        </is>
      </c>
      <c r="S251" s="9" t="n"/>
    </row>
    <row r="252">
      <c r="A252" t="n">
        <v>261</v>
      </c>
      <c r="B252" s="8" t="n">
        <v>46195.96271990741</v>
      </c>
      <c r="C252" t="inlineStr">
        <is>
          <t>GEETA TRADERS</t>
        </is>
      </c>
      <c r="D252" t="inlineStr">
        <is>
          <t>BILSANDA</t>
        </is>
      </c>
      <c r="E252" t="inlineStr">
        <is>
          <t>UP27BT0595</t>
        </is>
      </c>
      <c r="F252">
        <f>IF(E252="","",XLOOKUP(E252,'Master Data'!$E$5:$E$15,'Master Data'!$F$5:$F$15,""))</f>
        <v/>
      </c>
      <c r="G252" t="n">
        <v>12.5</v>
      </c>
      <c r="H252" s="9" t="n">
        <v>342</v>
      </c>
      <c r="I252" s="9">
        <f>IF(OR(G252="",H252=""),"",G252*H252)</f>
        <v/>
      </c>
      <c r="J252" s="9" t="n"/>
      <c r="K252" s="9" t="n"/>
      <c r="L252" s="9">
        <f>IF(I252="","",I252-IF(J252="",0,J252)-IF(K252="",0,K252))</f>
        <v/>
      </c>
      <c r="M252" s="9">
        <f>IF(E252="","",XLOOKUP(E252,'Master Data'!$E$5:$E$15,'Master Data'!$G$5:$G$15,0))</f>
        <v/>
      </c>
      <c r="N252" s="9">
        <f>IF(E252="","",XLOOKUP(E252,'Master Data'!$E$5:$E$15,'Master Data'!$H$5:$H$15,0))</f>
        <v/>
      </c>
      <c r="O252" s="9">
        <f>IF(L252="","",L252-M252-N252)</f>
        <v/>
      </c>
      <c r="Q252" t="inlineStr">
        <is>
          <t>11</t>
        </is>
      </c>
      <c r="S252" s="9" t="n"/>
    </row>
    <row r="253">
      <c r="A253" t="n">
        <v>263</v>
      </c>
      <c r="B253" s="8" t="n">
        <v>46195.83790509259</v>
      </c>
      <c r="C253" t="inlineStr">
        <is>
          <t>GARG CEMENT STORE</t>
        </is>
      </c>
      <c r="D253" t="inlineStr">
        <is>
          <t>JAFARPUR</t>
        </is>
      </c>
      <c r="E253" t="inlineStr">
        <is>
          <t>UP25CT3782</t>
        </is>
      </c>
      <c r="F253">
        <f>IF(E253="","",XLOOKUP(E253,'Master Data'!$E$5:$E$15,'Master Data'!$F$5:$F$15,""))</f>
        <v/>
      </c>
      <c r="G253" t="n">
        <v>25</v>
      </c>
      <c r="H253" s="9" t="n">
        <v>346</v>
      </c>
      <c r="I253" s="9">
        <f>IF(OR(G253="",H253=""),"",G253*H253)</f>
        <v/>
      </c>
      <c r="J253" s="9" t="n">
        <v>4500</v>
      </c>
      <c r="K253" s="9" t="n">
        <v>1500</v>
      </c>
      <c r="L253" s="9">
        <f>IF(I253="","",I253-IF(J253="",0,J253)-IF(K253="",0,K253))</f>
        <v/>
      </c>
      <c r="M253" s="9">
        <f>IF(E253="","",XLOOKUP(E253,'Master Data'!$E$5:$E$15,'Master Data'!$G$5:$G$15,0))</f>
        <v/>
      </c>
      <c r="N253" s="9">
        <f>IF(E253="","",XLOOKUP(E253,'Master Data'!$E$5:$E$15,'Master Data'!$H$5:$H$15,0))</f>
        <v/>
      </c>
      <c r="O253" s="9">
        <f>IF(L253="","",L253-M253-N253)</f>
        <v/>
      </c>
      <c r="Q253" t="inlineStr">
        <is>
          <t>10</t>
        </is>
      </c>
      <c r="S253" s="9" t="n"/>
    </row>
    <row r="254">
      <c r="A254" t="n">
        <v>264</v>
      </c>
      <c r="B254" s="8" t="n">
        <v>46195</v>
      </c>
      <c r="C254" t="n">
        <v/>
      </c>
      <c r="D254" t="inlineStr">
        <is>
          <t>CHANDAPUR</t>
        </is>
      </c>
      <c r="E254" t="inlineStr">
        <is>
          <t>UP25JT8803</t>
        </is>
      </c>
      <c r="F254">
        <f>IF(E254="","",XLOOKUP(E254,'Master Data'!$E$5:$E$15,'Master Data'!$F$5:$F$15,""))</f>
        <v/>
      </c>
      <c r="G254" t="n">
        <v>13</v>
      </c>
      <c r="H254" s="9" t="n">
        <v>306</v>
      </c>
      <c r="I254" s="9">
        <f>IF(OR(G254="",H254=""),"",G254*H254)</f>
        <v/>
      </c>
      <c r="J254" s="9" t="n"/>
      <c r="K254" s="9" t="n"/>
      <c r="L254" s="9">
        <f>IF(I254="","",I254-IF(J254="",0,J254)-IF(K254="",0,K254))</f>
        <v/>
      </c>
      <c r="M254" s="9">
        <f>IF(E254="","",XLOOKUP(E254,'Master Data'!$E$5:$E$15,'Master Data'!$G$5:$G$15,0))</f>
        <v/>
      </c>
      <c r="N254" s="9">
        <f>IF(E254="","",XLOOKUP(E254,'Master Data'!$E$5:$E$15,'Master Data'!$H$5:$H$15,0))</f>
        <v/>
      </c>
      <c r="O254" s="9">
        <f>IF(L254="","",L254-M254-N254)</f>
        <v/>
      </c>
      <c r="Q254" t="inlineStr">
        <is>
          <t>11</t>
        </is>
      </c>
      <c r="S254" s="9" t="n"/>
    </row>
    <row r="255">
      <c r="A255" t="n">
        <v>265</v>
      </c>
      <c r="B255" s="8" t="n">
        <v>46195</v>
      </c>
      <c r="C255" t="n">
        <v/>
      </c>
      <c r="D255" t="n">
        <v/>
      </c>
      <c r="E255" t="inlineStr">
        <is>
          <t>CANCELLED</t>
        </is>
      </c>
      <c r="F255">
        <f>IF(E255="","",XLOOKUP(E255,'Master Data'!$E$5:$E$15,'Master Data'!$F$5:$F$15,""))</f>
        <v/>
      </c>
      <c r="H255" s="9" t="n"/>
      <c r="I255" s="9">
        <f>IF(OR(G255="",H255=""),"",G255*H255)</f>
        <v/>
      </c>
      <c r="J255" s="9" t="n"/>
      <c r="K255" s="9" t="n"/>
      <c r="L255" s="9">
        <f>IF(I255="","",I255-IF(J255="",0,J255)-IF(K255="",0,K255))</f>
        <v/>
      </c>
      <c r="M255" s="9">
        <f>IF(E255="","",XLOOKUP(E255,'Master Data'!$E$5:$E$15,'Master Data'!$G$5:$G$15,0))</f>
        <v/>
      </c>
      <c r="N255" s="9">
        <f>IF(E255="","",XLOOKUP(E255,'Master Data'!$E$5:$E$15,'Master Data'!$H$5:$H$15,0))</f>
        <v/>
      </c>
      <c r="O255" s="9">
        <f>IF(L255="","",L255-M255-N255)</f>
        <v/>
      </c>
      <c r="S255" s="9" t="n"/>
    </row>
    <row r="256">
      <c r="A256" t="n">
        <v>266</v>
      </c>
      <c r="B256" s="8" t="n">
        <v>46195</v>
      </c>
      <c r="C256" t="n">
        <v/>
      </c>
      <c r="D256" t="n">
        <v/>
      </c>
      <c r="E256" t="inlineStr">
        <is>
          <t>CANCELLED</t>
        </is>
      </c>
      <c r="F256">
        <f>IF(E256="","",XLOOKUP(E256,'Master Data'!$E$5:$E$15,'Master Data'!$F$5:$F$15,""))</f>
        <v/>
      </c>
      <c r="H256" s="9" t="n"/>
      <c r="I256" s="9">
        <f>IF(OR(G256="",H256=""),"",G256*H256)</f>
        <v/>
      </c>
      <c r="J256" s="9" t="n"/>
      <c r="K256" s="9" t="n"/>
      <c r="L256" s="9">
        <f>IF(I256="","",I256-IF(J256="",0,J256)-IF(K256="",0,K256))</f>
        <v/>
      </c>
      <c r="M256" s="9">
        <f>IF(E256="","",XLOOKUP(E256,'Master Data'!$E$5:$E$15,'Master Data'!$G$5:$G$15,0))</f>
        <v/>
      </c>
      <c r="N256" s="9">
        <f>IF(E256="","",XLOOKUP(E256,'Master Data'!$E$5:$E$15,'Master Data'!$H$5:$H$15,0))</f>
        <v/>
      </c>
      <c r="O256" s="9">
        <f>IF(L256="","",L256-M256-N256)</f>
        <v/>
      </c>
      <c r="S256" s="9" t="n"/>
    </row>
    <row r="257">
      <c r="A257" t="n">
        <v>267</v>
      </c>
      <c r="B257" s="8" t="n">
        <v>46196</v>
      </c>
      <c r="C257" t="n">
        <v/>
      </c>
      <c r="D257" t="inlineStr">
        <is>
          <t>BALLIA (SHJPUR)</t>
        </is>
      </c>
      <c r="E257" t="inlineStr">
        <is>
          <t>UP25JT8802</t>
        </is>
      </c>
      <c r="F257">
        <f>IF(E257="","",XLOOKUP(E257,'Master Data'!$E$5:$E$15,'Master Data'!$F$5:$F$15,""))</f>
        <v/>
      </c>
      <c r="G257" t="n">
        <v>13</v>
      </c>
      <c r="H257" s="9" t="n">
        <v>418</v>
      </c>
      <c r="I257" s="9">
        <f>IF(OR(G257="",H257=""),"",G257*H257)</f>
        <v/>
      </c>
      <c r="J257" s="9" t="n"/>
      <c r="K257" s="9" t="n"/>
      <c r="L257" s="9">
        <f>IF(I257="","",I257-IF(J257="",0,J257)-IF(K257="",0,K257))</f>
        <v/>
      </c>
      <c r="M257" s="9">
        <f>IF(E257="","",XLOOKUP(E257,'Master Data'!$E$5:$E$15,'Master Data'!$G$5:$G$15,0))</f>
        <v/>
      </c>
      <c r="N257" s="9">
        <f>IF(E257="","",XLOOKUP(E257,'Master Data'!$E$5:$E$15,'Master Data'!$H$5:$H$15,0))</f>
        <v/>
      </c>
      <c r="O257" s="9">
        <f>IF(L257="","",L257-M257-N257)</f>
        <v/>
      </c>
      <c r="P257" t="inlineStr">
        <is>
          <t>YES</t>
        </is>
      </c>
      <c r="S257" s="9" t="n"/>
    </row>
    <row r="258">
      <c r="A258" t="n">
        <v>268</v>
      </c>
      <c r="B258" s="8" t="n">
        <v>46196</v>
      </c>
      <c r="C258" t="n">
        <v/>
      </c>
      <c r="D258" t="inlineStr">
        <is>
          <t>BHOJIPURA</t>
        </is>
      </c>
      <c r="E258" t="inlineStr">
        <is>
          <t>UP25AT3048</t>
        </is>
      </c>
      <c r="F258">
        <f>IF(E258="","",XLOOKUP(E258,'Master Data'!$E$5:$E$15,'Master Data'!$F$5:$F$15,""))</f>
        <v/>
      </c>
      <c r="G258" t="n">
        <v>20</v>
      </c>
      <c r="H258" s="9" t="n">
        <v>383</v>
      </c>
      <c r="I258" s="9">
        <f>IF(OR(G258="",H258=""),"",G258*H258)</f>
        <v/>
      </c>
      <c r="J258" s="9" t="n"/>
      <c r="K258" s="9" t="n"/>
      <c r="L258" s="9">
        <f>IF(I258="","",I258-IF(J258="",0,J258)-IF(K258="",0,K258))</f>
        <v/>
      </c>
      <c r="M258" s="9">
        <f>IF(E258="","",XLOOKUP(E258,'Master Data'!$E$5:$E$15,'Master Data'!$G$5:$G$15,0))</f>
        <v/>
      </c>
      <c r="N258" s="9">
        <f>IF(E258="","",XLOOKUP(E258,'Master Data'!$E$5:$E$15,'Master Data'!$H$5:$H$15,0))</f>
        <v/>
      </c>
      <c r="O258" s="9">
        <f>IF(L258="","",L258-M258-N258)</f>
        <v/>
      </c>
      <c r="Q258" t="inlineStr">
        <is>
          <t>11</t>
        </is>
      </c>
      <c r="S258" s="9" t="n"/>
    </row>
    <row r="259">
      <c r="A259" t="n">
        <v>269</v>
      </c>
      <c r="B259" s="8" t="n">
        <v>46196</v>
      </c>
      <c r="C259" t="n">
        <v/>
      </c>
      <c r="D259" t="inlineStr">
        <is>
          <t>AMRITPUR</t>
        </is>
      </c>
      <c r="E259" t="inlineStr">
        <is>
          <t>UP25DT8397</t>
        </is>
      </c>
      <c r="F259">
        <f>IF(E259="","",XLOOKUP(E259,'Master Data'!$E$5:$E$15,'Master Data'!$F$5:$F$15,""))</f>
        <v/>
      </c>
      <c r="G259" t="n">
        <v>25</v>
      </c>
      <c r="H259" s="9" t="n">
        <v>357</v>
      </c>
      <c r="I259" s="9">
        <f>IF(OR(G259="",H259=""),"",G259*H259)</f>
        <v/>
      </c>
      <c r="J259" s="9" t="n"/>
      <c r="K259" s="9" t="n"/>
      <c r="L259" s="9">
        <f>IF(I259="","",I259-IF(J259="",0,J259)-IF(K259="",0,K259))</f>
        <v/>
      </c>
      <c r="M259" s="9">
        <f>IF(E259="","",XLOOKUP(E259,'Master Data'!$E$5:$E$15,'Master Data'!$G$5:$G$15,0))</f>
        <v/>
      </c>
      <c r="N259" s="9">
        <f>IF(E259="","",XLOOKUP(E259,'Master Data'!$E$5:$E$15,'Master Data'!$H$5:$H$15,0))</f>
        <v/>
      </c>
      <c r="O259" s="9">
        <f>IF(L259="","",L259-M259-N259)</f>
        <v/>
      </c>
      <c r="Q259" t="inlineStr">
        <is>
          <t>11</t>
        </is>
      </c>
      <c r="S259" s="9" t="n"/>
    </row>
    <row r="260">
      <c r="A260" t="n">
        <v>270</v>
      </c>
      <c r="B260" s="8" t="n">
        <v>46196</v>
      </c>
      <c r="C260" t="n">
        <v/>
      </c>
      <c r="D260" t="inlineStr">
        <is>
          <t>DHOURATANDA</t>
        </is>
      </c>
      <c r="E260" t="inlineStr">
        <is>
          <t>UP2525CT4515</t>
        </is>
      </c>
      <c r="F260">
        <f>IF(E260="","",XLOOKUP(E260,'Master Data'!$E$5:$E$15,'Master Data'!$F$5:$F$15,""))</f>
        <v/>
      </c>
      <c r="G260" t="n">
        <v>25</v>
      </c>
      <c r="H260" s="9" t="n">
        <v>348</v>
      </c>
      <c r="I260" s="9">
        <f>IF(OR(G260="",H260=""),"",G260*H260)</f>
        <v/>
      </c>
      <c r="J260" s="9" t="n"/>
      <c r="K260" s="9" t="n"/>
      <c r="L260" s="9">
        <f>IF(I260="","",I260-IF(J260="",0,J260)-IF(K260="",0,K260))</f>
        <v/>
      </c>
      <c r="M260" s="9">
        <f>IF(E260="","",XLOOKUP(E260,'Master Data'!$E$5:$E$15,'Master Data'!$G$5:$G$15,0))</f>
        <v/>
      </c>
      <c r="N260" s="9">
        <f>IF(E260="","",XLOOKUP(E260,'Master Data'!$E$5:$E$15,'Master Data'!$H$5:$H$15,0))</f>
        <v/>
      </c>
      <c r="O260" s="9">
        <f>IF(L260="","",L260-M260-N260)</f>
        <v/>
      </c>
      <c r="Q260" t="inlineStr">
        <is>
          <t>11</t>
        </is>
      </c>
      <c r="S260" s="9" t="n"/>
    </row>
    <row r="261">
      <c r="A261" t="n">
        <v>271</v>
      </c>
      <c r="B261" s="8" t="n">
        <v>46196</v>
      </c>
      <c r="C261" t="n">
        <v/>
      </c>
      <c r="D261" t="inlineStr">
        <is>
          <t>DHOURATANDA</t>
        </is>
      </c>
      <c r="E261" t="inlineStr">
        <is>
          <t>UP27AT5718</t>
        </is>
      </c>
      <c r="F261">
        <f>IF(E261="","",XLOOKUP(E261,'Master Data'!$E$5:$E$15,'Master Data'!$F$5:$F$15,""))</f>
        <v/>
      </c>
      <c r="G261" t="n">
        <v>20</v>
      </c>
      <c r="H261" s="9" t="n">
        <v>399</v>
      </c>
      <c r="I261" s="9">
        <f>IF(OR(G261="",H261=""),"",G261*H261)</f>
        <v/>
      </c>
      <c r="J261" s="9" t="n"/>
      <c r="K261" s="9" t="n"/>
      <c r="L261" s="9">
        <f>IF(I261="","",I261-IF(J261="",0,J261)-IF(K261="",0,K261))</f>
        <v/>
      </c>
      <c r="M261" s="9">
        <f>IF(E261="","",XLOOKUP(E261,'Master Data'!$E$5:$E$15,'Master Data'!$G$5:$G$15,0))</f>
        <v/>
      </c>
      <c r="N261" s="9">
        <f>IF(E261="","",XLOOKUP(E261,'Master Data'!$E$5:$E$15,'Master Data'!$H$5:$H$15,0))</f>
        <v/>
      </c>
      <c r="O261" s="9">
        <f>IF(L261="","",L261-M261-N261)</f>
        <v/>
      </c>
      <c r="Q261" t="inlineStr">
        <is>
          <t>11</t>
        </is>
      </c>
      <c r="S261" s="9" t="n"/>
    </row>
    <row r="262">
      <c r="A262" t="n">
        <v>272</v>
      </c>
      <c r="B262" s="8" t="n">
        <v>46196</v>
      </c>
      <c r="C262" t="n">
        <v/>
      </c>
      <c r="D262" t="inlineStr">
        <is>
          <t>FAREEDPUR</t>
        </is>
      </c>
      <c r="E262" t="inlineStr">
        <is>
          <t>UP25BT2915</t>
        </is>
      </c>
      <c r="F262">
        <f>IF(E262="","",XLOOKUP(E262,'Master Data'!$E$5:$E$15,'Master Data'!$F$5:$F$15,""))</f>
        <v/>
      </c>
      <c r="G262" t="n">
        <v>25</v>
      </c>
      <c r="H262" s="9" t="n">
        <v>206</v>
      </c>
      <c r="I262" s="9">
        <f>IF(OR(G262="",H262=""),"",G262*H262)</f>
        <v/>
      </c>
      <c r="J262" s="9" t="n"/>
      <c r="K262" s="9" t="n"/>
      <c r="L262" s="9">
        <f>IF(I262="","",I262-IF(J262="",0,J262)-IF(K262="",0,K262))</f>
        <v/>
      </c>
      <c r="M262" s="9">
        <f>IF(E262="","",XLOOKUP(E262,'Master Data'!$E$5:$E$15,'Master Data'!$G$5:$G$15,0))</f>
        <v/>
      </c>
      <c r="N262" s="9">
        <f>IF(E262="","",XLOOKUP(E262,'Master Data'!$E$5:$E$15,'Master Data'!$H$5:$H$15,0))</f>
        <v/>
      </c>
      <c r="O262" s="9">
        <f>IF(L262="","",L262-M262-N262)</f>
        <v/>
      </c>
      <c r="S262" s="9" t="n"/>
    </row>
    <row r="263">
      <c r="A263" t="n">
        <v>273</v>
      </c>
      <c r="B263" s="8" t="n">
        <v>46196</v>
      </c>
      <c r="C263" t="n">
        <v/>
      </c>
      <c r="D263" t="inlineStr">
        <is>
          <t>BASUDHARAN JAGIR</t>
        </is>
      </c>
      <c r="E263" t="inlineStr">
        <is>
          <t>UP25CT2572</t>
        </is>
      </c>
      <c r="F263">
        <f>IF(E263="","",XLOOKUP(E263,'Master Data'!$E$5:$E$15,'Master Data'!$F$5:$F$15,""))</f>
        <v/>
      </c>
      <c r="G263" t="n">
        <v>10</v>
      </c>
      <c r="H263" s="9" t="n">
        <v>435</v>
      </c>
      <c r="I263" s="9">
        <f>IF(OR(G263="",H263=""),"",G263*H263)</f>
        <v/>
      </c>
      <c r="J263" s="9" t="n"/>
      <c r="K263" s="9" t="n"/>
      <c r="L263" s="9">
        <f>IF(I263="","",I263-IF(J263="",0,J263)-IF(K263="",0,K263))</f>
        <v/>
      </c>
      <c r="M263" s="9">
        <f>IF(E263="","",XLOOKUP(E263,'Master Data'!$E$5:$E$15,'Master Data'!$G$5:$G$15,0))</f>
        <v/>
      </c>
      <c r="N263" s="9">
        <f>IF(E263="","",XLOOKUP(E263,'Master Data'!$E$5:$E$15,'Master Data'!$H$5:$H$15,0))</f>
        <v/>
      </c>
      <c r="O263" s="9">
        <f>IF(L263="","",L263-M263-N263)</f>
        <v/>
      </c>
      <c r="Q263" t="inlineStr">
        <is>
          <t>11</t>
        </is>
      </c>
      <c r="S263" s="9" t="n"/>
    </row>
    <row r="264">
      <c r="A264" t="n">
        <v>274</v>
      </c>
      <c r="B264" s="8" t="n">
        <v>46196</v>
      </c>
      <c r="C264" t="n">
        <v/>
      </c>
      <c r="D264" t="inlineStr">
        <is>
          <t>SHERGARH (BLY)</t>
        </is>
      </c>
      <c r="E264" t="inlineStr">
        <is>
          <t>UP25CT2572</t>
        </is>
      </c>
      <c r="F264">
        <f>IF(E264="","",XLOOKUP(E264,'Master Data'!$E$5:$E$15,'Master Data'!$F$5:$F$15,""))</f>
        <v/>
      </c>
      <c r="G264" t="n">
        <v>10</v>
      </c>
      <c r="H264" s="9" t="n">
        <v>455</v>
      </c>
      <c r="I264" s="9">
        <f>IF(OR(G264="",H264=""),"",G264*H264)</f>
        <v/>
      </c>
      <c r="J264" s="9" t="n"/>
      <c r="K264" s="9" t="n"/>
      <c r="L264" s="9">
        <f>IF(I264="","",I264-IF(J264="",0,J264)-IF(K264="",0,K264))</f>
        <v/>
      </c>
      <c r="M264" s="9">
        <f>IF(E264="","",XLOOKUP(E264,'Master Data'!$E$5:$E$15,'Master Data'!$G$5:$G$15,0))</f>
        <v/>
      </c>
      <c r="N264" s="9">
        <f>IF(E264="","",XLOOKUP(E264,'Master Data'!$E$5:$E$15,'Master Data'!$H$5:$H$15,0))</f>
        <v/>
      </c>
      <c r="O264" s="9">
        <f>IF(L264="","",L264-M264-N264)</f>
        <v/>
      </c>
      <c r="Q264" t="inlineStr">
        <is>
          <t>11</t>
        </is>
      </c>
      <c r="S264" s="9" t="n"/>
    </row>
    <row r="265">
      <c r="A265" t="n">
        <v>275</v>
      </c>
      <c r="B265" s="8" t="n">
        <v>46196</v>
      </c>
      <c r="C265" t="n">
        <v/>
      </c>
      <c r="D265" t="inlineStr">
        <is>
          <t>MANPUR( BISALPUR)</t>
        </is>
      </c>
      <c r="E265" t="inlineStr">
        <is>
          <t>UP83T5121</t>
        </is>
      </c>
      <c r="F265">
        <f>IF(E265="","",XLOOKUP(E265,'Master Data'!$E$5:$E$15,'Master Data'!$F$5:$F$15,""))</f>
        <v/>
      </c>
      <c r="G265" t="n">
        <v>20</v>
      </c>
      <c r="H265" s="9" t="n">
        <v>349</v>
      </c>
      <c r="I265" s="9">
        <f>IF(OR(G265="",H265=""),"",G265*H265)</f>
        <v/>
      </c>
      <c r="J265" s="9" t="n"/>
      <c r="K265" s="9" t="n"/>
      <c r="L265" s="9">
        <f>IF(I265="","",I265-IF(J265="",0,J265)-IF(K265="",0,K265))</f>
        <v/>
      </c>
      <c r="M265" s="9">
        <f>IF(E265="","",XLOOKUP(E265,'Master Data'!$E$5:$E$15,'Master Data'!$G$5:$G$15,0))</f>
        <v/>
      </c>
      <c r="N265" s="9">
        <f>IF(E265="","",XLOOKUP(E265,'Master Data'!$E$5:$E$15,'Master Data'!$H$5:$H$15,0))</f>
        <v/>
      </c>
      <c r="O265" s="9">
        <f>IF(L265="","",L265-M265-N265)</f>
        <v/>
      </c>
      <c r="P265" t="inlineStr">
        <is>
          <t>YES</t>
        </is>
      </c>
      <c r="S265" s="9" t="n"/>
    </row>
    <row r="266">
      <c r="A266" t="n">
        <v>276</v>
      </c>
      <c r="B266" s="8" t="n">
        <v>46196</v>
      </c>
      <c r="C266" t="n">
        <v/>
      </c>
      <c r="D266" t="inlineStr">
        <is>
          <t>BAREILLY</t>
        </is>
      </c>
      <c r="E266" t="inlineStr">
        <is>
          <t>UP25CT3782</t>
        </is>
      </c>
      <c r="F266">
        <f>IF(E266="","",XLOOKUP(E266,'Master Data'!$E$5:$E$15,'Master Data'!$F$5:$F$15,""))</f>
        <v/>
      </c>
      <c r="G266" t="n">
        <v>25</v>
      </c>
      <c r="H266" s="9" t="n">
        <v>304</v>
      </c>
      <c r="I266" s="9">
        <f>IF(OR(G266="",H266=""),"",G266*H266)</f>
        <v/>
      </c>
      <c r="J266" s="9" t="n"/>
      <c r="K266" s="9" t="n"/>
      <c r="L266" s="9">
        <f>IF(I266="","",I266-IF(J266="",0,J266)-IF(K266="",0,K266))</f>
        <v/>
      </c>
      <c r="M266" s="9">
        <f>IF(E266="","",XLOOKUP(E266,'Master Data'!$E$5:$E$15,'Master Data'!$G$5:$G$15,0))</f>
        <v/>
      </c>
      <c r="N266" s="9">
        <f>IF(E266="","",XLOOKUP(E266,'Master Data'!$E$5:$E$15,'Master Data'!$H$5:$H$15,0))</f>
        <v/>
      </c>
      <c r="O266" s="9">
        <f>IF(L266="","",L266-M266-N266)</f>
        <v/>
      </c>
      <c r="Q266" t="inlineStr">
        <is>
          <t>10</t>
        </is>
      </c>
      <c r="S266" s="9" t="n"/>
    </row>
    <row r="267">
      <c r="A267" t="n">
        <v>277</v>
      </c>
      <c r="B267" s="8" t="n">
        <v>46196</v>
      </c>
      <c r="C267" t="n">
        <v/>
      </c>
      <c r="D267" t="inlineStr">
        <is>
          <t>BISALPUR</t>
        </is>
      </c>
      <c r="E267" t="inlineStr">
        <is>
          <t>UP27BT0595</t>
        </is>
      </c>
      <c r="F267">
        <f>IF(E267="","",XLOOKUP(E267,'Master Data'!$E$5:$E$15,'Master Data'!$F$5:$F$15,""))</f>
        <v/>
      </c>
      <c r="G267" t="n">
        <v>25</v>
      </c>
      <c r="H267" s="9" t="n">
        <v>298</v>
      </c>
      <c r="I267" s="9">
        <f>IF(OR(G267="",H267=""),"",G267*H267)</f>
        <v/>
      </c>
      <c r="J267" s="9" t="n"/>
      <c r="K267" s="9" t="n"/>
      <c r="L267" s="9">
        <f>IF(I267="","",I267-IF(J267="",0,J267)-IF(K267="",0,K267))</f>
        <v/>
      </c>
      <c r="M267" s="9">
        <f>IF(E267="","",XLOOKUP(E267,'Master Data'!$E$5:$E$15,'Master Data'!$G$5:$G$15,0))</f>
        <v/>
      </c>
      <c r="N267" s="9">
        <f>IF(E267="","",XLOOKUP(E267,'Master Data'!$E$5:$E$15,'Master Data'!$H$5:$H$15,0))</f>
        <v/>
      </c>
      <c r="O267" s="9">
        <f>IF(L267="","",L267-M267-N267)</f>
        <v/>
      </c>
      <c r="Q267" t="inlineStr">
        <is>
          <t>11</t>
        </is>
      </c>
      <c r="S267" s="9" t="n"/>
    </row>
    <row r="268">
      <c r="A268" t="n">
        <v>278</v>
      </c>
      <c r="B268" s="8" t="n">
        <v>46196</v>
      </c>
      <c r="C268" t="n">
        <v/>
      </c>
      <c r="D268" t="inlineStr">
        <is>
          <t>TUMURKHI</t>
        </is>
      </c>
      <c r="E268" t="inlineStr">
        <is>
          <t>UP25JT8804</t>
        </is>
      </c>
      <c r="F268">
        <f>IF(E268="","",XLOOKUP(E268,'Master Data'!$E$5:$E$15,'Master Data'!$F$5:$F$15,""))</f>
        <v/>
      </c>
      <c r="G268" t="n">
        <v>13</v>
      </c>
      <c r="H268" s="9" t="n">
        <v>447</v>
      </c>
      <c r="I268" s="9">
        <f>IF(OR(G268="",H268=""),"",G268*H268)</f>
        <v/>
      </c>
      <c r="J268" s="9" t="n"/>
      <c r="K268" s="9" t="n"/>
      <c r="L268" s="9">
        <f>IF(I268="","",I268-IF(J268="",0,J268)-IF(K268="",0,K268))</f>
        <v/>
      </c>
      <c r="M268" s="9">
        <f>IF(E268="","",XLOOKUP(E268,'Master Data'!$E$5:$E$15,'Master Data'!$G$5:$G$15,0))</f>
        <v/>
      </c>
      <c r="N268" s="9">
        <f>IF(E268="","",XLOOKUP(E268,'Master Data'!$E$5:$E$15,'Master Data'!$H$5:$H$15,0))</f>
        <v/>
      </c>
      <c r="O268" s="9">
        <f>IF(L268="","",L268-M268-N268)</f>
        <v/>
      </c>
      <c r="P268" t="inlineStr">
        <is>
          <t>YES</t>
        </is>
      </c>
      <c r="S268" s="9" t="n"/>
    </row>
    <row r="269">
      <c r="A269" t="n">
        <v>279</v>
      </c>
      <c r="C269" t="n">
        <v/>
      </c>
      <c r="D269" t="n">
        <v/>
      </c>
      <c r="E269" t="n">
        <v/>
      </c>
      <c r="F269">
        <f>IF(E269="","",XLOOKUP(E269,'Master Data'!$E$5:$E$15,'Master Data'!$F$5:$F$15,""))</f>
        <v/>
      </c>
      <c r="H269" s="9" t="n"/>
      <c r="I269" s="9">
        <f>IF(OR(G269="",H269=""),"",G269*H269)</f>
        <v/>
      </c>
      <c r="J269" s="9" t="n"/>
      <c r="K269" s="9" t="n"/>
      <c r="L269" s="9">
        <f>IF(I269="","",I269-IF(J269="",0,J269)-IF(K269="",0,K269))</f>
        <v/>
      </c>
      <c r="M269" s="9">
        <f>IF(E269="","",XLOOKUP(E269,'Master Data'!$E$5:$E$15,'Master Data'!$G$5:$G$15,0))</f>
        <v/>
      </c>
      <c r="N269" s="9">
        <f>IF(E269="","",XLOOKUP(E269,'Master Data'!$E$5:$E$15,'Master Data'!$H$5:$H$15,0))</f>
        <v/>
      </c>
      <c r="O269" s="9">
        <f>IF(L269="","",L269-M269-N269)</f>
        <v/>
      </c>
      <c r="P269" t="inlineStr">
        <is>
          <t>YES</t>
        </is>
      </c>
      <c r="S269" s="9" t="n"/>
    </row>
    <row r="270">
      <c r="F270">
        <f>IF(E270="","",XLOOKUP(E270,'Master Data'!$E$5:$E$15,'Master Data'!$F$5:$F$15,""))</f>
        <v/>
      </c>
      <c r="H270" s="9" t="n"/>
      <c r="I270" s="9">
        <f>IF(OR(G270="",H270=""),"",G270*H270)</f>
        <v/>
      </c>
      <c r="J270" s="9" t="n"/>
      <c r="K270" s="9" t="n"/>
      <c r="L270" s="9">
        <f>IF(I270="","",I270-IF(J270="",0,J270)-IF(K270="",0,K270))</f>
        <v/>
      </c>
      <c r="M270" s="9">
        <f>IF(E270="","",XLOOKUP(E270,'Master Data'!$E$5:$E$15,'Master Data'!$G$5:$G$15,0))</f>
        <v/>
      </c>
      <c r="N270" s="9">
        <f>IF(E270="","",XLOOKUP(E270,'Master Data'!$E$5:$E$15,'Master Data'!$H$5:$H$15,0))</f>
        <v/>
      </c>
      <c r="O270" s="9">
        <f>IF(L270="","",L270-M270-N270)</f>
        <v/>
      </c>
      <c r="S270" s="9" t="n"/>
    </row>
    <row r="271">
      <c r="F271">
        <f>IF(E271="","",XLOOKUP(E271,'Master Data'!$E$5:$E$15,'Master Data'!$F$5:$F$15,""))</f>
        <v/>
      </c>
      <c r="H271" s="9" t="n"/>
      <c r="I271" s="9">
        <f>IF(OR(G271="",H271=""),"",G271*H271)</f>
        <v/>
      </c>
      <c r="J271" s="9" t="n"/>
      <c r="K271" s="9" t="n"/>
      <c r="L271" s="9">
        <f>IF(I271="","",I271-IF(J271="",0,J271)-IF(K271="",0,K271))</f>
        <v/>
      </c>
      <c r="M271" s="9">
        <f>IF(E271="","",XLOOKUP(E271,'Master Data'!$E$5:$E$15,'Master Data'!$G$5:$G$15,0))</f>
        <v/>
      </c>
      <c r="N271" s="9">
        <f>IF(E271="","",XLOOKUP(E271,'Master Data'!$E$5:$E$15,'Master Data'!$H$5:$H$15,0))</f>
        <v/>
      </c>
      <c r="O271" s="9">
        <f>IF(L271="","",L271-M271-N271)</f>
        <v/>
      </c>
      <c r="S271" s="9" t="n"/>
    </row>
    <row r="272">
      <c r="F272">
        <f>IF(E272="","",XLOOKUP(E272,'Master Data'!$E$5:$E$15,'Master Data'!$F$5:$F$15,""))</f>
        <v/>
      </c>
      <c r="H272" s="9" t="n"/>
      <c r="I272" s="9">
        <f>IF(OR(G272="",H272=""),"",G272*H272)</f>
        <v/>
      </c>
      <c r="J272" s="9" t="n"/>
      <c r="K272" s="9" t="n"/>
      <c r="L272" s="9">
        <f>IF(I272="","",I272-IF(J272="",0,J272)-IF(K272="",0,K272))</f>
        <v/>
      </c>
      <c r="M272" s="9">
        <f>IF(E272="","",XLOOKUP(E272,'Master Data'!$E$5:$E$15,'Master Data'!$G$5:$G$15,0))</f>
        <v/>
      </c>
      <c r="N272" s="9">
        <f>IF(E272="","",XLOOKUP(E272,'Master Data'!$E$5:$E$15,'Master Data'!$H$5:$H$15,0))</f>
        <v/>
      </c>
      <c r="O272" s="9">
        <f>IF(L272="","",L272-M272-N272)</f>
        <v/>
      </c>
      <c r="S272" s="9" t="n"/>
    </row>
    <row r="273">
      <c r="F273">
        <f>IF(E273="","",XLOOKUP(E273,'Master Data'!$E$5:$E$15,'Master Data'!$F$5:$F$15,""))</f>
        <v/>
      </c>
      <c r="H273" s="9" t="n"/>
      <c r="I273" s="9">
        <f>IF(OR(G273="",H273=""),"",G273*H273)</f>
        <v/>
      </c>
      <c r="J273" s="9" t="n"/>
      <c r="K273" s="9" t="n"/>
      <c r="L273" s="9">
        <f>IF(I273="","",I273-IF(J273="",0,J273)-IF(K273="",0,K273))</f>
        <v/>
      </c>
      <c r="M273" s="9">
        <f>IF(E273="","",XLOOKUP(E273,'Master Data'!$E$5:$E$15,'Master Data'!$G$5:$G$15,0))</f>
        <v/>
      </c>
      <c r="N273" s="9">
        <f>IF(E273="","",XLOOKUP(E273,'Master Data'!$E$5:$E$15,'Master Data'!$H$5:$H$15,0))</f>
        <v/>
      </c>
      <c r="O273" s="9">
        <f>IF(L273="","",L273-M273-N273)</f>
        <v/>
      </c>
      <c r="S273" s="9" t="n"/>
    </row>
    <row r="274">
      <c r="F274">
        <f>IF(E274="","",XLOOKUP(E274,'Master Data'!$E$5:$E$15,'Master Data'!$F$5:$F$15,""))</f>
        <v/>
      </c>
      <c r="H274" s="9" t="n"/>
      <c r="I274" s="9">
        <f>IF(OR(G274="",H274=""),"",G274*H274)</f>
        <v/>
      </c>
      <c r="J274" s="9" t="n"/>
      <c r="K274" s="9" t="n"/>
      <c r="L274" s="9">
        <f>IF(I274="","",I274-IF(J274="",0,J274)-IF(K274="",0,K274))</f>
        <v/>
      </c>
      <c r="M274" s="9">
        <f>IF(E274="","",XLOOKUP(E274,'Master Data'!$E$5:$E$15,'Master Data'!$G$5:$G$15,0))</f>
        <v/>
      </c>
      <c r="N274" s="9">
        <f>IF(E274="","",XLOOKUP(E274,'Master Data'!$E$5:$E$15,'Master Data'!$H$5:$H$15,0))</f>
        <v/>
      </c>
      <c r="O274" s="9">
        <f>IF(L274="","",L274-M274-N274)</f>
        <v/>
      </c>
      <c r="S274" s="9" t="n"/>
    </row>
    <row r="275">
      <c r="F275">
        <f>IF(E275="","",XLOOKUP(E275,'Master Data'!$E$5:$E$15,'Master Data'!$F$5:$F$15,""))</f>
        <v/>
      </c>
      <c r="H275" s="9" t="n"/>
      <c r="I275" s="9">
        <f>IF(OR(G275="",H275=""),"",G275*H275)</f>
        <v/>
      </c>
      <c r="J275" s="9" t="n"/>
      <c r="K275" s="9" t="n"/>
      <c r="L275" s="9">
        <f>IF(I275="","",I275-IF(J275="",0,J275)-IF(K275="",0,K275))</f>
        <v/>
      </c>
      <c r="M275" s="9">
        <f>IF(E275="","",XLOOKUP(E275,'Master Data'!$E$5:$E$15,'Master Data'!$G$5:$G$15,0))</f>
        <v/>
      </c>
      <c r="N275" s="9">
        <f>IF(E275="","",XLOOKUP(E275,'Master Data'!$E$5:$E$15,'Master Data'!$H$5:$H$15,0))</f>
        <v/>
      </c>
      <c r="O275" s="9">
        <f>IF(L275="","",L275-M275-N275)</f>
        <v/>
      </c>
      <c r="S275" s="9" t="n"/>
    </row>
    <row r="276">
      <c r="F276">
        <f>IF(E276="","",XLOOKUP(E276,'Master Data'!$E$5:$E$15,'Master Data'!$F$5:$F$15,""))</f>
        <v/>
      </c>
      <c r="H276" s="9" t="n"/>
      <c r="I276" s="9">
        <f>IF(OR(G276="",H276=""),"",G276*H276)</f>
        <v/>
      </c>
      <c r="J276" s="9" t="n"/>
      <c r="K276" s="9" t="n"/>
      <c r="L276" s="9">
        <f>IF(I276="","",I276-IF(J276="",0,J276)-IF(K276="",0,K276))</f>
        <v/>
      </c>
      <c r="M276" s="9">
        <f>IF(E276="","",XLOOKUP(E276,'Master Data'!$E$5:$E$15,'Master Data'!$G$5:$G$15,0))</f>
        <v/>
      </c>
      <c r="N276" s="9">
        <f>IF(E276="","",XLOOKUP(E276,'Master Data'!$E$5:$E$15,'Master Data'!$H$5:$H$15,0))</f>
        <v/>
      </c>
      <c r="O276" s="9">
        <f>IF(L276="","",L276-M276-N276)</f>
        <v/>
      </c>
      <c r="S276" s="9" t="n"/>
    </row>
    <row r="277">
      <c r="F277">
        <f>IF(E277="","",XLOOKUP(E277,'Master Data'!$E$5:$E$15,'Master Data'!$F$5:$F$15,""))</f>
        <v/>
      </c>
      <c r="H277" s="9" t="n"/>
      <c r="I277" s="9">
        <f>IF(OR(G277="",H277=""),"",G277*H277)</f>
        <v/>
      </c>
      <c r="J277" s="9" t="n"/>
      <c r="K277" s="9" t="n"/>
      <c r="L277" s="9">
        <f>IF(I277="","",I277-IF(J277="",0,J277)-IF(K277="",0,K277))</f>
        <v/>
      </c>
      <c r="M277" s="9">
        <f>IF(E277="","",XLOOKUP(E277,'Master Data'!$E$5:$E$15,'Master Data'!$G$5:$G$15,0))</f>
        <v/>
      </c>
      <c r="N277" s="9">
        <f>IF(E277="","",XLOOKUP(E277,'Master Data'!$E$5:$E$15,'Master Data'!$H$5:$H$15,0))</f>
        <v/>
      </c>
      <c r="O277" s="9">
        <f>IF(L277="","",L277-M277-N277)</f>
        <v/>
      </c>
      <c r="S277" s="9" t="n"/>
    </row>
    <row r="278">
      <c r="F278">
        <f>IF(E278="","",XLOOKUP(E278,'Master Data'!$E$5:$E$15,'Master Data'!$F$5:$F$15,""))</f>
        <v/>
      </c>
      <c r="H278" s="9" t="n"/>
      <c r="I278" s="9">
        <f>IF(OR(G278="",H278=""),"",G278*H278)</f>
        <v/>
      </c>
      <c r="J278" s="9" t="n"/>
      <c r="K278" s="9" t="n"/>
      <c r="L278" s="9">
        <f>IF(I278="","",I278-IF(J278="",0,J278)-IF(K278="",0,K278))</f>
        <v/>
      </c>
      <c r="M278" s="9">
        <f>IF(E278="","",XLOOKUP(E278,'Master Data'!$E$5:$E$15,'Master Data'!$G$5:$G$15,0))</f>
        <v/>
      </c>
      <c r="N278" s="9">
        <f>IF(E278="","",XLOOKUP(E278,'Master Data'!$E$5:$E$15,'Master Data'!$H$5:$H$15,0))</f>
        <v/>
      </c>
      <c r="O278" s="9">
        <f>IF(L278="","",L278-M278-N278)</f>
        <v/>
      </c>
      <c r="S278" s="9" t="n"/>
    </row>
    <row r="279">
      <c r="F279">
        <f>IF(E279="","",XLOOKUP(E279,'Master Data'!$E$5:$E$15,'Master Data'!$F$5:$F$15,""))</f>
        <v/>
      </c>
      <c r="H279" s="9" t="n"/>
      <c r="I279" s="9">
        <f>IF(OR(G279="",H279=""),"",G279*H279)</f>
        <v/>
      </c>
      <c r="J279" s="9" t="n"/>
      <c r="K279" s="9" t="n"/>
      <c r="L279" s="9">
        <f>IF(I279="","",I279-IF(J279="",0,J279)-IF(K279="",0,K279))</f>
        <v/>
      </c>
      <c r="M279" s="9">
        <f>IF(E279="","",XLOOKUP(E279,'Master Data'!$E$5:$E$15,'Master Data'!$G$5:$G$15,0))</f>
        <v/>
      </c>
      <c r="N279" s="9">
        <f>IF(E279="","",XLOOKUP(E279,'Master Data'!$E$5:$E$15,'Master Data'!$H$5:$H$15,0))</f>
        <v/>
      </c>
      <c r="O279" s="9">
        <f>IF(L279="","",L279-M279-N279)</f>
        <v/>
      </c>
      <c r="S279" s="9" t="n"/>
    </row>
    <row r="280">
      <c r="F280">
        <f>IF(E280="","",XLOOKUP(E280,'Master Data'!$E$5:$E$15,'Master Data'!$F$5:$F$15,""))</f>
        <v/>
      </c>
      <c r="H280" s="9" t="n"/>
      <c r="I280" s="9">
        <f>IF(OR(G280="",H280=""),"",G280*H280)</f>
        <v/>
      </c>
      <c r="J280" s="9" t="n"/>
      <c r="K280" s="9" t="n"/>
      <c r="L280" s="9">
        <f>IF(I280="","",I280-IF(J280="",0,J280)-IF(K280="",0,K280))</f>
        <v/>
      </c>
      <c r="M280" s="9">
        <f>IF(E280="","",XLOOKUP(E280,'Master Data'!$E$5:$E$15,'Master Data'!$G$5:$G$15,0))</f>
        <v/>
      </c>
      <c r="N280" s="9">
        <f>IF(E280="","",XLOOKUP(E280,'Master Data'!$E$5:$E$15,'Master Data'!$H$5:$H$15,0))</f>
        <v/>
      </c>
      <c r="O280" s="9">
        <f>IF(L280="","",L280-M280-N280)</f>
        <v/>
      </c>
      <c r="S280" s="9" t="n"/>
    </row>
    <row r="281">
      <c r="F281">
        <f>IF(E281="","",XLOOKUP(E281,'Master Data'!$E$5:$E$15,'Master Data'!$F$5:$F$15,""))</f>
        <v/>
      </c>
      <c r="H281" s="9" t="n"/>
      <c r="I281" s="9">
        <f>IF(OR(G281="",H281=""),"",G281*H281)</f>
        <v/>
      </c>
      <c r="J281" s="9" t="n"/>
      <c r="K281" s="9" t="n"/>
      <c r="L281" s="9">
        <f>IF(I281="","",I281-IF(J281="",0,J281)-IF(K281="",0,K281))</f>
        <v/>
      </c>
      <c r="M281" s="9">
        <f>IF(E281="","",XLOOKUP(E281,'Master Data'!$E$5:$E$15,'Master Data'!$G$5:$G$15,0))</f>
        <v/>
      </c>
      <c r="N281" s="9">
        <f>IF(E281="","",XLOOKUP(E281,'Master Data'!$E$5:$E$15,'Master Data'!$H$5:$H$15,0))</f>
        <v/>
      </c>
      <c r="O281" s="9">
        <f>IF(L281="","",L281-M281-N281)</f>
        <v/>
      </c>
      <c r="S281" s="9" t="n"/>
    </row>
    <row r="282">
      <c r="F282">
        <f>IF(E282="","",XLOOKUP(E282,'Master Data'!$E$5:$E$15,'Master Data'!$F$5:$F$15,""))</f>
        <v/>
      </c>
      <c r="H282" s="9" t="n"/>
      <c r="I282" s="9">
        <f>IF(OR(G282="",H282=""),"",G282*H282)</f>
        <v/>
      </c>
      <c r="J282" s="9" t="n"/>
      <c r="K282" s="9" t="n"/>
      <c r="L282" s="9">
        <f>IF(I282="","",I282-IF(J282="",0,J282)-IF(K282="",0,K282))</f>
        <v/>
      </c>
      <c r="M282" s="9">
        <f>IF(E282="","",XLOOKUP(E282,'Master Data'!$E$5:$E$15,'Master Data'!$G$5:$G$15,0))</f>
        <v/>
      </c>
      <c r="N282" s="9">
        <f>IF(E282="","",XLOOKUP(E282,'Master Data'!$E$5:$E$15,'Master Data'!$H$5:$H$15,0))</f>
        <v/>
      </c>
      <c r="O282" s="9">
        <f>IF(L282="","",L282-M282-N282)</f>
        <v/>
      </c>
      <c r="S282" s="9" t="n"/>
    </row>
    <row r="283">
      <c r="F283">
        <f>IF(E283="","",XLOOKUP(E283,'Master Data'!$E$5:$E$15,'Master Data'!$F$5:$F$15,""))</f>
        <v/>
      </c>
      <c r="H283" s="9" t="n"/>
      <c r="I283" s="9">
        <f>IF(OR(G283="",H283=""),"",G283*H283)</f>
        <v/>
      </c>
      <c r="J283" s="9" t="n"/>
      <c r="K283" s="9" t="n"/>
      <c r="L283" s="9">
        <f>IF(I283="","",I283-IF(J283="",0,J283)-IF(K283="",0,K283))</f>
        <v/>
      </c>
      <c r="M283" s="9">
        <f>IF(E283="","",XLOOKUP(E283,'Master Data'!$E$5:$E$15,'Master Data'!$G$5:$G$15,0))</f>
        <v/>
      </c>
      <c r="N283" s="9">
        <f>IF(E283="","",XLOOKUP(E283,'Master Data'!$E$5:$E$15,'Master Data'!$H$5:$H$15,0))</f>
        <v/>
      </c>
      <c r="O283" s="9">
        <f>IF(L283="","",L283-M283-N283)</f>
        <v/>
      </c>
      <c r="S283" s="9" t="n"/>
    </row>
    <row r="284">
      <c r="F284">
        <f>IF(E284="","",XLOOKUP(E284,'Master Data'!$E$5:$E$15,'Master Data'!$F$5:$F$15,""))</f>
        <v/>
      </c>
      <c r="H284" s="9" t="n"/>
      <c r="I284" s="9">
        <f>IF(OR(G284="",H284=""),"",G284*H284)</f>
        <v/>
      </c>
      <c r="J284" s="9" t="n"/>
      <c r="K284" s="9" t="n"/>
      <c r="L284" s="9">
        <f>IF(I284="","",I284-IF(J284="",0,J284)-IF(K284="",0,K284))</f>
        <v/>
      </c>
      <c r="M284" s="9">
        <f>IF(E284="","",XLOOKUP(E284,'Master Data'!$E$5:$E$15,'Master Data'!$G$5:$G$15,0))</f>
        <v/>
      </c>
      <c r="N284" s="9">
        <f>IF(E284="","",XLOOKUP(E284,'Master Data'!$E$5:$E$15,'Master Data'!$H$5:$H$15,0))</f>
        <v/>
      </c>
      <c r="O284" s="9">
        <f>IF(L284="","",L284-M284-N284)</f>
        <v/>
      </c>
      <c r="S284" s="9" t="n"/>
    </row>
    <row r="285">
      <c r="F285">
        <f>IF(E285="","",XLOOKUP(E285,'Master Data'!$E$5:$E$15,'Master Data'!$F$5:$F$15,""))</f>
        <v/>
      </c>
      <c r="H285" s="9" t="n"/>
      <c r="I285" s="9">
        <f>IF(OR(G285="",H285=""),"",G285*H285)</f>
        <v/>
      </c>
      <c r="J285" s="9" t="n"/>
      <c r="K285" s="9" t="n"/>
      <c r="L285" s="9">
        <f>IF(I285="","",I285-IF(J285="",0,J285)-IF(K285="",0,K285))</f>
        <v/>
      </c>
      <c r="M285" s="9">
        <f>IF(E285="","",XLOOKUP(E285,'Master Data'!$E$5:$E$15,'Master Data'!$G$5:$G$15,0))</f>
        <v/>
      </c>
      <c r="N285" s="9">
        <f>IF(E285="","",XLOOKUP(E285,'Master Data'!$E$5:$E$15,'Master Data'!$H$5:$H$15,0))</f>
        <v/>
      </c>
      <c r="O285" s="9">
        <f>IF(L285="","",L285-M285-N285)</f>
        <v/>
      </c>
      <c r="S285" s="9" t="n"/>
    </row>
    <row r="286">
      <c r="F286">
        <f>IF(E286="","",XLOOKUP(E286,'Master Data'!$E$5:$E$15,'Master Data'!$F$5:$F$15,""))</f>
        <v/>
      </c>
      <c r="H286" s="9" t="n"/>
      <c r="I286" s="9">
        <f>IF(OR(G286="",H286=""),"",G286*H286)</f>
        <v/>
      </c>
      <c r="J286" s="9" t="n"/>
      <c r="K286" s="9" t="n"/>
      <c r="L286" s="9">
        <f>IF(I286="","",I286-IF(J286="",0,J286)-IF(K286="",0,K286))</f>
        <v/>
      </c>
      <c r="M286" s="9">
        <f>IF(E286="","",XLOOKUP(E286,'Master Data'!$E$5:$E$15,'Master Data'!$G$5:$G$15,0))</f>
        <v/>
      </c>
      <c r="N286" s="9">
        <f>IF(E286="","",XLOOKUP(E286,'Master Data'!$E$5:$E$15,'Master Data'!$H$5:$H$15,0))</f>
        <v/>
      </c>
      <c r="O286" s="9">
        <f>IF(L286="","",L286-M286-N286)</f>
        <v/>
      </c>
      <c r="S286" s="9" t="n"/>
    </row>
    <row r="287">
      <c r="F287">
        <f>IF(E287="","",XLOOKUP(E287,'Master Data'!$E$5:$E$15,'Master Data'!$F$5:$F$15,""))</f>
        <v/>
      </c>
      <c r="H287" s="9" t="n"/>
      <c r="I287" s="9">
        <f>IF(OR(G287="",H287=""),"",G287*H287)</f>
        <v/>
      </c>
      <c r="J287" s="9" t="n"/>
      <c r="K287" s="9" t="n"/>
      <c r="L287" s="9">
        <f>IF(I287="","",I287-IF(J287="",0,J287)-IF(K287="",0,K287))</f>
        <v/>
      </c>
      <c r="M287" s="9">
        <f>IF(E287="","",XLOOKUP(E287,'Master Data'!$E$5:$E$15,'Master Data'!$G$5:$G$15,0))</f>
        <v/>
      </c>
      <c r="N287" s="9">
        <f>IF(E287="","",XLOOKUP(E287,'Master Data'!$E$5:$E$15,'Master Data'!$H$5:$H$15,0))</f>
        <v/>
      </c>
      <c r="O287" s="9">
        <f>IF(L287="","",L287-M287-N287)</f>
        <v/>
      </c>
      <c r="S287" s="9" t="n"/>
    </row>
    <row r="288">
      <c r="F288">
        <f>IF(E288="","",XLOOKUP(E288,'Master Data'!$E$5:$E$15,'Master Data'!$F$5:$F$15,""))</f>
        <v/>
      </c>
      <c r="H288" s="9" t="n"/>
      <c r="I288" s="9">
        <f>IF(OR(G288="",H288=""),"",G288*H288)</f>
        <v/>
      </c>
      <c r="J288" s="9" t="n"/>
      <c r="K288" s="9" t="n"/>
      <c r="L288" s="9">
        <f>IF(I288="","",I288-IF(J288="",0,J288)-IF(K288="",0,K288))</f>
        <v/>
      </c>
      <c r="M288" s="9">
        <f>IF(E288="","",XLOOKUP(E288,'Master Data'!$E$5:$E$15,'Master Data'!$G$5:$G$15,0))</f>
        <v/>
      </c>
      <c r="N288" s="9">
        <f>IF(E288="","",XLOOKUP(E288,'Master Data'!$E$5:$E$15,'Master Data'!$H$5:$H$15,0))</f>
        <v/>
      </c>
      <c r="O288" s="9">
        <f>IF(L288="","",L288-M288-N288)</f>
        <v/>
      </c>
      <c r="S288" s="9" t="n"/>
    </row>
    <row r="289">
      <c r="F289">
        <f>IF(E289="","",XLOOKUP(E289,'Master Data'!$E$5:$E$15,'Master Data'!$F$5:$F$15,""))</f>
        <v/>
      </c>
      <c r="H289" s="9" t="n"/>
      <c r="I289" s="9">
        <f>IF(OR(G289="",H289=""),"",G289*H289)</f>
        <v/>
      </c>
      <c r="J289" s="9" t="n"/>
      <c r="K289" s="9" t="n"/>
      <c r="L289" s="9">
        <f>IF(I289="","",I289-IF(J289="",0,J289)-IF(K289="",0,K289))</f>
        <v/>
      </c>
      <c r="M289" s="9">
        <f>IF(E289="","",XLOOKUP(E289,'Master Data'!$E$5:$E$15,'Master Data'!$G$5:$G$15,0))</f>
        <v/>
      </c>
      <c r="N289" s="9">
        <f>IF(E289="","",XLOOKUP(E289,'Master Data'!$E$5:$E$15,'Master Data'!$H$5:$H$15,0))</f>
        <v/>
      </c>
      <c r="O289" s="9">
        <f>IF(L289="","",L289-M289-N289)</f>
        <v/>
      </c>
      <c r="S289" s="9" t="n"/>
    </row>
    <row r="290">
      <c r="F290">
        <f>IF(E290="","",XLOOKUP(E290,'Master Data'!$E$5:$E$15,'Master Data'!$F$5:$F$15,""))</f>
        <v/>
      </c>
      <c r="H290" s="9" t="n"/>
      <c r="I290" s="9">
        <f>IF(OR(G290="",H290=""),"",G290*H290)</f>
        <v/>
      </c>
      <c r="J290" s="9" t="n"/>
      <c r="K290" s="9" t="n"/>
      <c r="L290" s="9">
        <f>IF(I290="","",I290-IF(J290="",0,J290)-IF(K290="",0,K290))</f>
        <v/>
      </c>
      <c r="M290" s="9">
        <f>IF(E290="","",XLOOKUP(E290,'Master Data'!$E$5:$E$15,'Master Data'!$G$5:$G$15,0))</f>
        <v/>
      </c>
      <c r="N290" s="9">
        <f>IF(E290="","",XLOOKUP(E290,'Master Data'!$E$5:$E$15,'Master Data'!$H$5:$H$15,0))</f>
        <v/>
      </c>
      <c r="O290" s="9">
        <f>IF(L290="","",L290-M290-N290)</f>
        <v/>
      </c>
      <c r="S290" s="9" t="n"/>
    </row>
    <row r="291">
      <c r="F291">
        <f>IF(E291="","",XLOOKUP(E291,'Master Data'!$E$5:$E$15,'Master Data'!$F$5:$F$15,""))</f>
        <v/>
      </c>
      <c r="H291" s="9" t="n"/>
      <c r="I291" s="9">
        <f>IF(OR(G291="",H291=""),"",G291*H291)</f>
        <v/>
      </c>
      <c r="J291" s="9" t="n"/>
      <c r="K291" s="9" t="n"/>
      <c r="L291" s="9">
        <f>IF(I291="","",I291-IF(J291="",0,J291)-IF(K291="",0,K291))</f>
        <v/>
      </c>
      <c r="M291" s="9">
        <f>IF(E291="","",XLOOKUP(E291,'Master Data'!$E$5:$E$15,'Master Data'!$G$5:$G$15,0))</f>
        <v/>
      </c>
      <c r="N291" s="9">
        <f>IF(E291="","",XLOOKUP(E291,'Master Data'!$E$5:$E$15,'Master Data'!$H$5:$H$15,0))</f>
        <v/>
      </c>
      <c r="O291" s="9">
        <f>IF(L291="","",L291-M291-N291)</f>
        <v/>
      </c>
      <c r="S291" s="9" t="n"/>
    </row>
    <row r="292">
      <c r="F292">
        <f>IF(E292="","",XLOOKUP(E292,'Master Data'!$E$5:$E$15,'Master Data'!$F$5:$F$15,""))</f>
        <v/>
      </c>
      <c r="H292" s="9" t="n"/>
      <c r="I292" s="9">
        <f>IF(OR(G292="",H292=""),"",G292*H292)</f>
        <v/>
      </c>
      <c r="J292" s="9" t="n"/>
      <c r="K292" s="9" t="n"/>
      <c r="L292" s="9">
        <f>IF(I292="","",I292-IF(J292="",0,J292)-IF(K292="",0,K292))</f>
        <v/>
      </c>
      <c r="M292" s="9">
        <f>IF(E292="","",XLOOKUP(E292,'Master Data'!$E$5:$E$15,'Master Data'!$G$5:$G$15,0))</f>
        <v/>
      </c>
      <c r="N292" s="9">
        <f>IF(E292="","",XLOOKUP(E292,'Master Data'!$E$5:$E$15,'Master Data'!$H$5:$H$15,0))</f>
        <v/>
      </c>
      <c r="O292" s="9">
        <f>IF(L292="","",L292-M292-N292)</f>
        <v/>
      </c>
      <c r="S292" s="9" t="n"/>
    </row>
    <row r="293">
      <c r="F293">
        <f>IF(E293="","",XLOOKUP(E293,'Master Data'!$E$5:$E$15,'Master Data'!$F$5:$F$15,""))</f>
        <v/>
      </c>
      <c r="H293" s="9" t="n"/>
      <c r="I293" s="9">
        <f>IF(OR(G293="",H293=""),"",G293*H293)</f>
        <v/>
      </c>
      <c r="J293" s="9" t="n"/>
      <c r="K293" s="9" t="n"/>
      <c r="L293" s="9">
        <f>IF(I293="","",I293-IF(J293="",0,J293)-IF(K293="",0,K293))</f>
        <v/>
      </c>
      <c r="M293" s="9">
        <f>IF(E293="","",XLOOKUP(E293,'Master Data'!$E$5:$E$15,'Master Data'!$G$5:$G$15,0))</f>
        <v/>
      </c>
      <c r="N293" s="9">
        <f>IF(E293="","",XLOOKUP(E293,'Master Data'!$E$5:$E$15,'Master Data'!$H$5:$H$15,0))</f>
        <v/>
      </c>
      <c r="O293" s="9">
        <f>IF(L293="","",L293-M293-N293)</f>
        <v/>
      </c>
      <c r="S293" s="9" t="n"/>
    </row>
    <row r="294">
      <c r="F294">
        <f>IF(E294="","",XLOOKUP(E294,'Master Data'!$E$5:$E$15,'Master Data'!$F$5:$F$15,""))</f>
        <v/>
      </c>
      <c r="H294" s="9" t="n"/>
      <c r="I294" s="9">
        <f>IF(OR(G294="",H294=""),"",G294*H294)</f>
        <v/>
      </c>
      <c r="J294" s="9" t="n"/>
      <c r="K294" s="9" t="n"/>
      <c r="L294" s="9">
        <f>IF(I294="","",I294-IF(J294="",0,J294)-IF(K294="",0,K294))</f>
        <v/>
      </c>
      <c r="M294" s="9">
        <f>IF(E294="","",XLOOKUP(E294,'Master Data'!$E$5:$E$15,'Master Data'!$G$5:$G$15,0))</f>
        <v/>
      </c>
      <c r="N294" s="9">
        <f>IF(E294="","",XLOOKUP(E294,'Master Data'!$E$5:$E$15,'Master Data'!$H$5:$H$15,0))</f>
        <v/>
      </c>
      <c r="O294" s="9">
        <f>IF(L294="","",L294-M294-N294)</f>
        <v/>
      </c>
      <c r="S294" s="9" t="n"/>
    </row>
    <row r="295">
      <c r="F295">
        <f>IF(E295="","",XLOOKUP(E295,'Master Data'!$E$5:$E$15,'Master Data'!$F$5:$F$15,""))</f>
        <v/>
      </c>
      <c r="H295" s="9" t="n"/>
      <c r="I295" s="9">
        <f>IF(OR(G295="",H295=""),"",G295*H295)</f>
        <v/>
      </c>
      <c r="J295" s="9" t="n"/>
      <c r="K295" s="9" t="n"/>
      <c r="L295" s="9">
        <f>IF(I295="","",I295-IF(J295="",0,J295)-IF(K295="",0,K295))</f>
        <v/>
      </c>
      <c r="M295" s="9">
        <f>IF(E295="","",XLOOKUP(E295,'Master Data'!$E$5:$E$15,'Master Data'!$G$5:$G$15,0))</f>
        <v/>
      </c>
      <c r="N295" s="9">
        <f>IF(E295="","",XLOOKUP(E295,'Master Data'!$E$5:$E$15,'Master Data'!$H$5:$H$15,0))</f>
        <v/>
      </c>
      <c r="O295" s="9">
        <f>IF(L295="","",L295-M295-N295)</f>
        <v/>
      </c>
      <c r="S295" s="9" t="n"/>
    </row>
    <row r="296">
      <c r="F296">
        <f>IF(E296="","",XLOOKUP(E296,'Master Data'!$E$5:$E$15,'Master Data'!$F$5:$F$15,""))</f>
        <v/>
      </c>
      <c r="H296" s="9" t="n"/>
      <c r="I296" s="9">
        <f>IF(OR(G296="",H296=""),"",G296*H296)</f>
        <v/>
      </c>
      <c r="J296" s="9" t="n"/>
      <c r="K296" s="9" t="n"/>
      <c r="L296" s="9">
        <f>IF(I296="","",I296-IF(J296="",0,J296)-IF(K296="",0,K296))</f>
        <v/>
      </c>
      <c r="M296" s="9">
        <f>IF(E296="","",XLOOKUP(E296,'Master Data'!$E$5:$E$15,'Master Data'!$G$5:$G$15,0))</f>
        <v/>
      </c>
      <c r="N296" s="9">
        <f>IF(E296="","",XLOOKUP(E296,'Master Data'!$E$5:$E$15,'Master Data'!$H$5:$H$15,0))</f>
        <v/>
      </c>
      <c r="O296" s="9">
        <f>IF(L296="","",L296-M296-N296)</f>
        <v/>
      </c>
      <c r="S296" s="9" t="n"/>
    </row>
    <row r="297">
      <c r="F297">
        <f>IF(E297="","",XLOOKUP(E297,'Master Data'!$E$5:$E$15,'Master Data'!$F$5:$F$15,""))</f>
        <v/>
      </c>
      <c r="H297" s="9" t="n"/>
      <c r="I297" s="9">
        <f>IF(OR(G297="",H297=""),"",G297*H297)</f>
        <v/>
      </c>
      <c r="J297" s="9" t="n"/>
      <c r="K297" s="9" t="n"/>
      <c r="L297" s="9">
        <f>IF(I297="","",I297-IF(J297="",0,J297)-IF(K297="",0,K297))</f>
        <v/>
      </c>
      <c r="M297" s="9">
        <f>IF(E297="","",XLOOKUP(E297,'Master Data'!$E$5:$E$15,'Master Data'!$G$5:$G$15,0))</f>
        <v/>
      </c>
      <c r="N297" s="9">
        <f>IF(E297="","",XLOOKUP(E297,'Master Data'!$E$5:$E$15,'Master Data'!$H$5:$H$15,0))</f>
        <v/>
      </c>
      <c r="O297" s="9">
        <f>IF(L297="","",L297-M297-N297)</f>
        <v/>
      </c>
      <c r="S297" s="9" t="n"/>
    </row>
    <row r="298">
      <c r="F298">
        <f>IF(E298="","",XLOOKUP(E298,'Master Data'!$E$5:$E$15,'Master Data'!$F$5:$F$15,""))</f>
        <v/>
      </c>
      <c r="H298" s="9" t="n"/>
      <c r="I298" s="9">
        <f>IF(OR(G298="",H298=""),"",G298*H298)</f>
        <v/>
      </c>
      <c r="J298" s="9" t="n"/>
      <c r="K298" s="9" t="n"/>
      <c r="L298" s="9">
        <f>IF(I298="","",I298-IF(J298="",0,J298)-IF(K298="",0,K298))</f>
        <v/>
      </c>
      <c r="M298" s="9">
        <f>IF(E298="","",XLOOKUP(E298,'Master Data'!$E$5:$E$15,'Master Data'!$G$5:$G$15,0))</f>
        <v/>
      </c>
      <c r="N298" s="9">
        <f>IF(E298="","",XLOOKUP(E298,'Master Data'!$E$5:$E$15,'Master Data'!$H$5:$H$15,0))</f>
        <v/>
      </c>
      <c r="O298" s="9">
        <f>IF(L298="","",L298-M298-N298)</f>
        <v/>
      </c>
      <c r="S298" s="9" t="n"/>
    </row>
    <row r="299">
      <c r="F299">
        <f>IF(E299="","",XLOOKUP(E299,'Master Data'!$E$5:$E$15,'Master Data'!$F$5:$F$15,""))</f>
        <v/>
      </c>
      <c r="H299" s="9" t="n"/>
      <c r="I299" s="9">
        <f>IF(OR(G299="",H299=""),"",G299*H299)</f>
        <v/>
      </c>
      <c r="J299" s="9" t="n"/>
      <c r="K299" s="9" t="n"/>
      <c r="L299" s="9">
        <f>IF(I299="","",I299-IF(J299="",0,J299)-IF(K299="",0,K299))</f>
        <v/>
      </c>
      <c r="M299" s="9">
        <f>IF(E299="","",XLOOKUP(E299,'Master Data'!$E$5:$E$15,'Master Data'!$G$5:$G$15,0))</f>
        <v/>
      </c>
      <c r="N299" s="9">
        <f>IF(E299="","",XLOOKUP(E299,'Master Data'!$E$5:$E$15,'Master Data'!$H$5:$H$15,0))</f>
        <v/>
      </c>
      <c r="O299" s="9">
        <f>IF(L299="","",L299-M299-N299)</f>
        <v/>
      </c>
      <c r="S299" s="9" t="n"/>
    </row>
    <row r="300">
      <c r="F300">
        <f>IF(E300="","",XLOOKUP(E300,'Master Data'!$E$5:$E$15,'Master Data'!$F$5:$F$15,""))</f>
        <v/>
      </c>
      <c r="H300" s="9" t="n"/>
      <c r="I300" s="9">
        <f>IF(OR(G300="",H300=""),"",G300*H300)</f>
        <v/>
      </c>
      <c r="J300" s="9" t="n"/>
      <c r="K300" s="9" t="n"/>
      <c r="L300" s="9">
        <f>IF(I300="","",I300-IF(J300="",0,J300)-IF(K300="",0,K300))</f>
        <v/>
      </c>
      <c r="M300" s="9">
        <f>IF(E300="","",XLOOKUP(E300,'Master Data'!$E$5:$E$15,'Master Data'!$G$5:$G$15,0))</f>
        <v/>
      </c>
      <c r="N300" s="9">
        <f>IF(E300="","",XLOOKUP(E300,'Master Data'!$E$5:$E$15,'Master Data'!$H$5:$H$15,0))</f>
        <v/>
      </c>
      <c r="O300" s="9">
        <f>IF(L300="","",L300-M300-N300)</f>
        <v/>
      </c>
      <c r="S300" s="9" t="n"/>
    </row>
    <row r="301">
      <c r="F301">
        <f>IF(E301="","",XLOOKUP(E301,'Master Data'!$E$5:$E$15,'Master Data'!$F$5:$F$15,""))</f>
        <v/>
      </c>
      <c r="H301" s="9" t="n"/>
      <c r="I301" s="9">
        <f>IF(OR(G301="",H301=""),"",G301*H301)</f>
        <v/>
      </c>
      <c r="J301" s="9" t="n"/>
      <c r="K301" s="9" t="n"/>
      <c r="L301" s="9">
        <f>IF(I301="","",I301-IF(J301="",0,J301)-IF(K301="",0,K301))</f>
        <v/>
      </c>
      <c r="M301" s="9">
        <f>IF(E301="","",XLOOKUP(E301,'Master Data'!$E$5:$E$15,'Master Data'!$G$5:$G$15,0))</f>
        <v/>
      </c>
      <c r="N301" s="9">
        <f>IF(E301="","",XLOOKUP(E301,'Master Data'!$E$5:$E$15,'Master Data'!$H$5:$H$15,0))</f>
        <v/>
      </c>
      <c r="O301" s="9">
        <f>IF(L301="","",L301-M301-N301)</f>
        <v/>
      </c>
      <c r="S301" s="9" t="n"/>
    </row>
    <row r="302">
      <c r="F302">
        <f>IF(E302="","",XLOOKUP(E302,'Master Data'!$E$5:$E$15,'Master Data'!$F$5:$F$15,""))</f>
        <v/>
      </c>
      <c r="H302" s="9" t="n"/>
      <c r="I302" s="9">
        <f>IF(OR(G302="",H302=""),"",G302*H302)</f>
        <v/>
      </c>
      <c r="J302" s="9" t="n"/>
      <c r="K302" s="9" t="n"/>
      <c r="L302" s="9">
        <f>IF(I302="","",I302-IF(J302="",0,J302)-IF(K302="",0,K302))</f>
        <v/>
      </c>
      <c r="M302" s="9">
        <f>IF(E302="","",XLOOKUP(E302,'Master Data'!$E$5:$E$15,'Master Data'!$G$5:$G$15,0))</f>
        <v/>
      </c>
      <c r="N302" s="9">
        <f>IF(E302="","",XLOOKUP(E302,'Master Data'!$E$5:$E$15,'Master Data'!$H$5:$H$15,0))</f>
        <v/>
      </c>
      <c r="O302" s="9">
        <f>IF(L302="","",L302-M302-N302)</f>
        <v/>
      </c>
      <c r="S302" s="9" t="n"/>
    </row>
    <row r="303">
      <c r="F303">
        <f>IF(E303="","",XLOOKUP(E303,'Master Data'!$E$5:$E$15,'Master Data'!$F$5:$F$15,""))</f>
        <v/>
      </c>
      <c r="H303" s="9" t="n"/>
      <c r="I303" s="9">
        <f>IF(OR(G303="",H303=""),"",G303*H303)</f>
        <v/>
      </c>
      <c r="J303" s="9" t="n"/>
      <c r="K303" s="9" t="n"/>
      <c r="L303" s="9">
        <f>IF(I303="","",I303-IF(J303="",0,J303)-IF(K303="",0,K303))</f>
        <v/>
      </c>
      <c r="M303" s="9">
        <f>IF(E303="","",XLOOKUP(E303,'Master Data'!$E$5:$E$15,'Master Data'!$G$5:$G$15,0))</f>
        <v/>
      </c>
      <c r="N303" s="9">
        <f>IF(E303="","",XLOOKUP(E303,'Master Data'!$E$5:$E$15,'Master Data'!$H$5:$H$15,0))</f>
        <v/>
      </c>
      <c r="O303" s="9">
        <f>IF(L303="","",L303-M303-N303)</f>
        <v/>
      </c>
      <c r="S303" s="9" t="n"/>
    </row>
    <row r="304">
      <c r="F304">
        <f>IF(E304="","",XLOOKUP(E304,'Master Data'!$E$5:$E$15,'Master Data'!$F$5:$F$15,""))</f>
        <v/>
      </c>
      <c r="H304" s="9" t="n"/>
      <c r="I304" s="9">
        <f>IF(OR(G304="",H304=""),"",G304*H304)</f>
        <v/>
      </c>
      <c r="J304" s="9" t="n"/>
      <c r="K304" s="9" t="n"/>
      <c r="L304" s="9">
        <f>IF(I304="","",I304-IF(J304="",0,J304)-IF(K304="",0,K304))</f>
        <v/>
      </c>
      <c r="M304" s="9">
        <f>IF(E304="","",XLOOKUP(E304,'Master Data'!$E$5:$E$15,'Master Data'!$G$5:$G$15,0))</f>
        <v/>
      </c>
      <c r="N304" s="9">
        <f>IF(E304="","",XLOOKUP(E304,'Master Data'!$E$5:$E$15,'Master Data'!$H$5:$H$15,0))</f>
        <v/>
      </c>
      <c r="O304" s="9">
        <f>IF(L304="","",L304-M304-N304)</f>
        <v/>
      </c>
      <c r="S304" s="9" t="n"/>
    </row>
    <row r="305">
      <c r="F305">
        <f>IF(E305="","",XLOOKUP(E305,'Master Data'!$E$5:$E$15,'Master Data'!$F$5:$F$15,""))</f>
        <v/>
      </c>
      <c r="H305" s="9" t="n"/>
      <c r="I305" s="9">
        <f>IF(OR(G305="",H305=""),"",G305*H305)</f>
        <v/>
      </c>
      <c r="J305" s="9" t="n"/>
      <c r="K305" s="9" t="n"/>
      <c r="L305" s="9">
        <f>IF(I305="","",I305-IF(J305="",0,J305)-IF(K305="",0,K305))</f>
        <v/>
      </c>
      <c r="M305" s="9">
        <f>IF(E305="","",XLOOKUP(E305,'Master Data'!$E$5:$E$15,'Master Data'!$G$5:$G$15,0))</f>
        <v/>
      </c>
      <c r="N305" s="9">
        <f>IF(E305="","",XLOOKUP(E305,'Master Data'!$E$5:$E$15,'Master Data'!$H$5:$H$15,0))</f>
        <v/>
      </c>
      <c r="O305" s="9">
        <f>IF(L305="","",L305-M305-N305)</f>
        <v/>
      </c>
      <c r="S305" s="9" t="n"/>
    </row>
    <row r="306">
      <c r="F306">
        <f>IF(E306="","",XLOOKUP(E306,'Master Data'!$E$5:$E$15,'Master Data'!$F$5:$F$15,""))</f>
        <v/>
      </c>
      <c r="H306" s="9" t="n"/>
      <c r="I306" s="9">
        <f>IF(OR(G306="",H306=""),"",G306*H306)</f>
        <v/>
      </c>
      <c r="J306" s="9" t="n"/>
      <c r="K306" s="9" t="n"/>
      <c r="L306" s="9">
        <f>IF(I306="","",I306-IF(J306="",0,J306)-IF(K306="",0,K306))</f>
        <v/>
      </c>
      <c r="M306" s="9">
        <f>IF(E306="","",XLOOKUP(E306,'Master Data'!$E$5:$E$15,'Master Data'!$G$5:$G$15,0))</f>
        <v/>
      </c>
      <c r="N306" s="9">
        <f>IF(E306="","",XLOOKUP(E306,'Master Data'!$E$5:$E$15,'Master Data'!$H$5:$H$15,0))</f>
        <v/>
      </c>
      <c r="O306" s="9">
        <f>IF(L306="","",L306-M306-N306)</f>
        <v/>
      </c>
      <c r="S306" s="9" t="n"/>
    </row>
    <row r="307">
      <c r="F307">
        <f>IF(E307="","",XLOOKUP(E307,'Master Data'!$E$5:$E$15,'Master Data'!$F$5:$F$15,""))</f>
        <v/>
      </c>
      <c r="H307" s="9" t="n"/>
      <c r="I307" s="9">
        <f>IF(OR(G307="",H307=""),"",G307*H307)</f>
        <v/>
      </c>
      <c r="J307" s="9" t="n"/>
      <c r="K307" s="9" t="n"/>
      <c r="L307" s="9">
        <f>IF(I307="","",I307-IF(J307="",0,J307)-IF(K307="",0,K307))</f>
        <v/>
      </c>
      <c r="M307" s="9">
        <f>IF(E307="","",XLOOKUP(E307,'Master Data'!$E$5:$E$15,'Master Data'!$G$5:$G$15,0))</f>
        <v/>
      </c>
      <c r="N307" s="9">
        <f>IF(E307="","",XLOOKUP(E307,'Master Data'!$E$5:$E$15,'Master Data'!$H$5:$H$15,0))</f>
        <v/>
      </c>
      <c r="O307" s="9">
        <f>IF(L307="","",L307-M307-N307)</f>
        <v/>
      </c>
      <c r="S307" s="9" t="n"/>
    </row>
    <row r="308">
      <c r="F308">
        <f>IF(E308="","",XLOOKUP(E308,'Master Data'!$E$5:$E$15,'Master Data'!$F$5:$F$15,""))</f>
        <v/>
      </c>
      <c r="H308" s="9" t="n"/>
      <c r="I308" s="9">
        <f>IF(OR(G308="",H308=""),"",G308*H308)</f>
        <v/>
      </c>
      <c r="J308" s="9" t="n"/>
      <c r="K308" s="9" t="n"/>
      <c r="L308" s="9">
        <f>IF(I308="","",I308-IF(J308="",0,J308)-IF(K308="",0,K308))</f>
        <v/>
      </c>
      <c r="M308" s="9">
        <f>IF(E308="","",XLOOKUP(E308,'Master Data'!$E$5:$E$15,'Master Data'!$G$5:$G$15,0))</f>
        <v/>
      </c>
      <c r="N308" s="9">
        <f>IF(E308="","",XLOOKUP(E308,'Master Data'!$E$5:$E$15,'Master Data'!$H$5:$H$15,0))</f>
        <v/>
      </c>
      <c r="O308" s="9">
        <f>IF(L308="","",L308-M308-N308)</f>
        <v/>
      </c>
      <c r="S308" s="9" t="n"/>
    </row>
    <row r="309">
      <c r="F309">
        <f>IF(E309="","",XLOOKUP(E309,'Master Data'!$E$5:$E$15,'Master Data'!$F$5:$F$15,""))</f>
        <v/>
      </c>
      <c r="H309" s="9" t="n"/>
      <c r="I309" s="9">
        <f>IF(OR(G309="",H309=""),"",G309*H309)</f>
        <v/>
      </c>
      <c r="J309" s="9" t="n"/>
      <c r="K309" s="9" t="n"/>
      <c r="L309" s="9">
        <f>IF(I309="","",I309-IF(J309="",0,J309)-IF(K309="",0,K309))</f>
        <v/>
      </c>
      <c r="M309" s="9">
        <f>IF(E309="","",XLOOKUP(E309,'Master Data'!$E$5:$E$15,'Master Data'!$G$5:$G$15,0))</f>
        <v/>
      </c>
      <c r="N309" s="9">
        <f>IF(E309="","",XLOOKUP(E309,'Master Data'!$E$5:$E$15,'Master Data'!$H$5:$H$15,0))</f>
        <v/>
      </c>
      <c r="O309" s="9">
        <f>IF(L309="","",L309-M309-N309)</f>
        <v/>
      </c>
      <c r="S309" s="9" t="n"/>
    </row>
    <row r="310">
      <c r="F310">
        <f>IF(E310="","",XLOOKUP(E310,'Master Data'!$E$5:$E$15,'Master Data'!$F$5:$F$15,""))</f>
        <v/>
      </c>
      <c r="H310" s="9" t="n"/>
      <c r="I310" s="9">
        <f>IF(OR(G310="",H310=""),"",G310*H310)</f>
        <v/>
      </c>
      <c r="J310" s="9" t="n"/>
      <c r="K310" s="9" t="n"/>
      <c r="L310" s="9">
        <f>IF(I310="","",I310-IF(J310="",0,J310)-IF(K310="",0,K310))</f>
        <v/>
      </c>
      <c r="M310" s="9">
        <f>IF(E310="","",XLOOKUP(E310,'Master Data'!$E$5:$E$15,'Master Data'!$G$5:$G$15,0))</f>
        <v/>
      </c>
      <c r="N310" s="9">
        <f>IF(E310="","",XLOOKUP(E310,'Master Data'!$E$5:$E$15,'Master Data'!$H$5:$H$15,0))</f>
        <v/>
      </c>
      <c r="O310" s="9">
        <f>IF(L310="","",L310-M310-N310)</f>
        <v/>
      </c>
      <c r="S310" s="9" t="n"/>
    </row>
    <row r="311">
      <c r="F311">
        <f>IF(E311="","",XLOOKUP(E311,'Master Data'!$E$5:$E$15,'Master Data'!$F$5:$F$15,""))</f>
        <v/>
      </c>
      <c r="H311" s="9" t="n"/>
      <c r="I311" s="9">
        <f>IF(OR(G311="",H311=""),"",G311*H311)</f>
        <v/>
      </c>
      <c r="J311" s="9" t="n"/>
      <c r="K311" s="9" t="n"/>
      <c r="L311" s="9">
        <f>IF(I311="","",I311-IF(J311="",0,J311)-IF(K311="",0,K311))</f>
        <v/>
      </c>
      <c r="M311" s="9">
        <f>IF(E311="","",XLOOKUP(E311,'Master Data'!$E$5:$E$15,'Master Data'!$G$5:$G$15,0))</f>
        <v/>
      </c>
      <c r="N311" s="9">
        <f>IF(E311="","",XLOOKUP(E311,'Master Data'!$E$5:$E$15,'Master Data'!$H$5:$H$15,0))</f>
        <v/>
      </c>
      <c r="O311" s="9">
        <f>IF(L311="","",L311-M311-N311)</f>
        <v/>
      </c>
      <c r="S311" s="9" t="n"/>
    </row>
    <row r="312">
      <c r="F312">
        <f>IF(E312="","",XLOOKUP(E312,'Master Data'!$E$5:$E$15,'Master Data'!$F$5:$F$15,""))</f>
        <v/>
      </c>
      <c r="H312" s="9" t="n"/>
      <c r="I312" s="9">
        <f>IF(OR(G312="",H312=""),"",G312*H312)</f>
        <v/>
      </c>
      <c r="J312" s="9" t="n"/>
      <c r="K312" s="9" t="n"/>
      <c r="L312" s="9">
        <f>IF(I312="","",I312-IF(J312="",0,J312)-IF(K312="",0,K312))</f>
        <v/>
      </c>
      <c r="M312" s="9">
        <f>IF(E312="","",XLOOKUP(E312,'Master Data'!$E$5:$E$15,'Master Data'!$G$5:$G$15,0))</f>
        <v/>
      </c>
      <c r="N312" s="9">
        <f>IF(E312="","",XLOOKUP(E312,'Master Data'!$E$5:$E$15,'Master Data'!$H$5:$H$15,0))</f>
        <v/>
      </c>
      <c r="O312" s="9">
        <f>IF(L312="","",L312-M312-N312)</f>
        <v/>
      </c>
      <c r="S312" s="9" t="n"/>
    </row>
    <row r="313">
      <c r="F313">
        <f>IF(E313="","",XLOOKUP(E313,'Master Data'!$E$5:$E$15,'Master Data'!$F$5:$F$15,""))</f>
        <v/>
      </c>
      <c r="H313" s="9" t="n"/>
      <c r="I313" s="9">
        <f>IF(OR(G313="",H313=""),"",G313*H313)</f>
        <v/>
      </c>
      <c r="J313" s="9" t="n"/>
      <c r="K313" s="9" t="n"/>
      <c r="L313" s="9">
        <f>IF(I313="","",I313-IF(J313="",0,J313)-IF(K313="",0,K313))</f>
        <v/>
      </c>
      <c r="M313" s="9">
        <f>IF(E313="","",XLOOKUP(E313,'Master Data'!$E$5:$E$15,'Master Data'!$G$5:$G$15,0))</f>
        <v/>
      </c>
      <c r="N313" s="9">
        <f>IF(E313="","",XLOOKUP(E313,'Master Data'!$E$5:$E$15,'Master Data'!$H$5:$H$15,0))</f>
        <v/>
      </c>
      <c r="O313" s="9">
        <f>IF(L313="","",L313-M313-N313)</f>
        <v/>
      </c>
      <c r="S313" s="9" t="n"/>
    </row>
    <row r="314">
      <c r="F314">
        <f>IF(E314="","",XLOOKUP(E314,'Master Data'!$E$5:$E$15,'Master Data'!$F$5:$F$15,""))</f>
        <v/>
      </c>
      <c r="H314" s="9" t="n"/>
      <c r="I314" s="9">
        <f>IF(OR(G314="",H314=""),"",G314*H314)</f>
        <v/>
      </c>
      <c r="J314" s="9" t="n"/>
      <c r="K314" s="9" t="n"/>
      <c r="L314" s="9">
        <f>IF(I314="","",I314-IF(J314="",0,J314)-IF(K314="",0,K314))</f>
        <v/>
      </c>
      <c r="M314" s="9">
        <f>IF(E314="","",XLOOKUP(E314,'Master Data'!$E$5:$E$15,'Master Data'!$G$5:$G$15,0))</f>
        <v/>
      </c>
      <c r="N314" s="9">
        <f>IF(E314="","",XLOOKUP(E314,'Master Data'!$E$5:$E$15,'Master Data'!$H$5:$H$15,0))</f>
        <v/>
      </c>
      <c r="O314" s="9">
        <f>IF(L314="","",L314-M314-N314)</f>
        <v/>
      </c>
      <c r="S314" s="9" t="n"/>
    </row>
    <row r="315">
      <c r="F315">
        <f>IF(E315="","",XLOOKUP(E315,'Master Data'!$E$5:$E$15,'Master Data'!$F$5:$F$15,""))</f>
        <v/>
      </c>
      <c r="H315" s="9" t="n"/>
      <c r="I315" s="9">
        <f>IF(OR(G315="",H315=""),"",G315*H315)</f>
        <v/>
      </c>
      <c r="J315" s="9" t="n"/>
      <c r="K315" s="9" t="n"/>
      <c r="L315" s="9">
        <f>IF(I315="","",I315-IF(J315="",0,J315)-IF(K315="",0,K315))</f>
        <v/>
      </c>
      <c r="M315" s="9">
        <f>IF(E315="","",XLOOKUP(E315,'Master Data'!$E$5:$E$15,'Master Data'!$G$5:$G$15,0))</f>
        <v/>
      </c>
      <c r="N315" s="9">
        <f>IF(E315="","",XLOOKUP(E315,'Master Data'!$E$5:$E$15,'Master Data'!$H$5:$H$15,0))</f>
        <v/>
      </c>
      <c r="O315" s="9">
        <f>IF(L315="","",L315-M315-N315)</f>
        <v/>
      </c>
      <c r="S315" s="9" t="n"/>
    </row>
    <row r="316">
      <c r="F316">
        <f>IF(E316="","",XLOOKUP(E316,'Master Data'!$E$5:$E$15,'Master Data'!$F$5:$F$15,""))</f>
        <v/>
      </c>
      <c r="H316" s="9" t="n"/>
      <c r="I316" s="9">
        <f>IF(OR(G316="",H316=""),"",G316*H316)</f>
        <v/>
      </c>
      <c r="J316" s="9" t="n"/>
      <c r="K316" s="9" t="n"/>
      <c r="L316" s="9">
        <f>IF(I316="","",I316-IF(J316="",0,J316)-IF(K316="",0,K316))</f>
        <v/>
      </c>
      <c r="M316" s="9">
        <f>IF(E316="","",XLOOKUP(E316,'Master Data'!$E$5:$E$15,'Master Data'!$G$5:$G$15,0))</f>
        <v/>
      </c>
      <c r="N316" s="9">
        <f>IF(E316="","",XLOOKUP(E316,'Master Data'!$E$5:$E$15,'Master Data'!$H$5:$H$15,0))</f>
        <v/>
      </c>
      <c r="O316" s="9">
        <f>IF(L316="","",L316-M316-N316)</f>
        <v/>
      </c>
      <c r="S316" s="9" t="n"/>
    </row>
    <row r="317">
      <c r="F317">
        <f>IF(E317="","",XLOOKUP(E317,'Master Data'!$E$5:$E$15,'Master Data'!$F$5:$F$15,""))</f>
        <v/>
      </c>
      <c r="H317" s="9" t="n"/>
      <c r="I317" s="9">
        <f>IF(OR(G317="",H317=""),"",G317*H317)</f>
        <v/>
      </c>
      <c r="J317" s="9" t="n"/>
      <c r="K317" s="9" t="n"/>
      <c r="L317" s="9">
        <f>IF(I317="","",I317-IF(J317="",0,J317)-IF(K317="",0,K317))</f>
        <v/>
      </c>
      <c r="M317" s="9">
        <f>IF(E317="","",XLOOKUP(E317,'Master Data'!$E$5:$E$15,'Master Data'!$G$5:$G$15,0))</f>
        <v/>
      </c>
      <c r="N317" s="9">
        <f>IF(E317="","",XLOOKUP(E317,'Master Data'!$E$5:$E$15,'Master Data'!$H$5:$H$15,0))</f>
        <v/>
      </c>
      <c r="O317" s="9">
        <f>IF(L317="","",L317-M317-N317)</f>
        <v/>
      </c>
      <c r="S317" s="9" t="n"/>
    </row>
    <row r="318">
      <c r="F318">
        <f>IF(E318="","",XLOOKUP(E318,'Master Data'!$E$5:$E$15,'Master Data'!$F$5:$F$15,""))</f>
        <v/>
      </c>
      <c r="H318" s="9" t="n"/>
      <c r="I318" s="9">
        <f>IF(OR(G318="",H318=""),"",G318*H318)</f>
        <v/>
      </c>
      <c r="J318" s="9" t="n"/>
      <c r="K318" s="9" t="n"/>
      <c r="L318" s="9">
        <f>IF(I318="","",I318-IF(J318="",0,J318)-IF(K318="",0,K318))</f>
        <v/>
      </c>
      <c r="M318" s="9">
        <f>IF(E318="","",XLOOKUP(E318,'Master Data'!$E$5:$E$15,'Master Data'!$G$5:$G$15,0))</f>
        <v/>
      </c>
      <c r="N318" s="9">
        <f>IF(E318="","",XLOOKUP(E318,'Master Data'!$E$5:$E$15,'Master Data'!$H$5:$H$15,0))</f>
        <v/>
      </c>
      <c r="O318" s="9">
        <f>IF(L318="","",L318-M318-N318)</f>
        <v/>
      </c>
      <c r="S318" s="9" t="n"/>
    </row>
    <row r="319">
      <c r="F319">
        <f>IF(E319="","",XLOOKUP(E319,'Master Data'!$E$5:$E$15,'Master Data'!$F$5:$F$15,""))</f>
        <v/>
      </c>
      <c r="H319" s="9" t="n"/>
      <c r="I319" s="9">
        <f>IF(OR(G319="",H319=""),"",G319*H319)</f>
        <v/>
      </c>
      <c r="J319" s="9" t="n"/>
      <c r="K319" s="9" t="n"/>
      <c r="L319" s="9">
        <f>IF(I319="","",I319-IF(J319="",0,J319)-IF(K319="",0,K319))</f>
        <v/>
      </c>
      <c r="M319" s="9">
        <f>IF(E319="","",XLOOKUP(E319,'Master Data'!$E$5:$E$15,'Master Data'!$G$5:$G$15,0))</f>
        <v/>
      </c>
      <c r="N319" s="9">
        <f>IF(E319="","",XLOOKUP(E319,'Master Data'!$E$5:$E$15,'Master Data'!$H$5:$H$15,0))</f>
        <v/>
      </c>
      <c r="O319" s="9">
        <f>IF(L319="","",L319-M319-N319)</f>
        <v/>
      </c>
      <c r="S319" s="9" t="n"/>
    </row>
    <row r="320">
      <c r="F320">
        <f>IF(E320="","",XLOOKUP(E320,'Master Data'!$E$5:$E$15,'Master Data'!$F$5:$F$15,""))</f>
        <v/>
      </c>
      <c r="H320" s="9" t="n"/>
      <c r="I320" s="9">
        <f>IF(OR(G320="",H320=""),"",G320*H320)</f>
        <v/>
      </c>
      <c r="J320" s="9" t="n"/>
      <c r="K320" s="9" t="n"/>
      <c r="L320" s="9">
        <f>IF(I320="","",I320-IF(J320="",0,J320)-IF(K320="",0,K320))</f>
        <v/>
      </c>
      <c r="M320" s="9">
        <f>IF(E320="","",XLOOKUP(E320,'Master Data'!$E$5:$E$15,'Master Data'!$G$5:$G$15,0))</f>
        <v/>
      </c>
      <c r="N320" s="9">
        <f>IF(E320="","",XLOOKUP(E320,'Master Data'!$E$5:$E$15,'Master Data'!$H$5:$H$15,0))</f>
        <v/>
      </c>
      <c r="O320" s="9">
        <f>IF(L320="","",L320-M320-N320)</f>
        <v/>
      </c>
      <c r="S320" s="9" t="n"/>
    </row>
    <row r="321">
      <c r="F321">
        <f>IF(E321="","",XLOOKUP(E321,'Master Data'!$E$5:$E$15,'Master Data'!$F$5:$F$15,""))</f>
        <v/>
      </c>
      <c r="H321" s="9" t="n"/>
      <c r="I321" s="9">
        <f>IF(OR(G321="",H321=""),"",G321*H321)</f>
        <v/>
      </c>
      <c r="J321" s="9" t="n"/>
      <c r="K321" s="9" t="n"/>
      <c r="L321" s="9">
        <f>IF(I321="","",I321-IF(J321="",0,J321)-IF(K321="",0,K321))</f>
        <v/>
      </c>
      <c r="M321" s="9">
        <f>IF(E321="","",XLOOKUP(E321,'Master Data'!$E$5:$E$15,'Master Data'!$G$5:$G$15,0))</f>
        <v/>
      </c>
      <c r="N321" s="9">
        <f>IF(E321="","",XLOOKUP(E321,'Master Data'!$E$5:$E$15,'Master Data'!$H$5:$H$15,0))</f>
        <v/>
      </c>
      <c r="O321" s="9">
        <f>IF(L321="","",L321-M321-N321)</f>
        <v/>
      </c>
      <c r="S321" s="9" t="n"/>
    </row>
    <row r="322">
      <c r="F322">
        <f>IF(E322="","",XLOOKUP(E322,'Master Data'!$E$5:$E$15,'Master Data'!$F$5:$F$15,""))</f>
        <v/>
      </c>
      <c r="H322" s="9" t="n"/>
      <c r="I322" s="9">
        <f>IF(OR(G322="",H322=""),"",G322*H322)</f>
        <v/>
      </c>
      <c r="J322" s="9" t="n"/>
      <c r="K322" s="9" t="n"/>
      <c r="L322" s="9">
        <f>IF(I322="","",I322-IF(J322="",0,J322)-IF(K322="",0,K322))</f>
        <v/>
      </c>
      <c r="M322" s="9">
        <f>IF(E322="","",XLOOKUP(E322,'Master Data'!$E$5:$E$15,'Master Data'!$G$5:$G$15,0))</f>
        <v/>
      </c>
      <c r="N322" s="9">
        <f>IF(E322="","",XLOOKUP(E322,'Master Data'!$E$5:$E$15,'Master Data'!$H$5:$H$15,0))</f>
        <v/>
      </c>
      <c r="O322" s="9">
        <f>IF(L322="","",L322-M322-N322)</f>
        <v/>
      </c>
      <c r="S322" s="9" t="n"/>
    </row>
    <row r="323">
      <c r="F323">
        <f>IF(E323="","",XLOOKUP(E323,'Master Data'!$E$5:$E$15,'Master Data'!$F$5:$F$15,""))</f>
        <v/>
      </c>
      <c r="H323" s="9" t="n"/>
      <c r="I323" s="9">
        <f>IF(OR(G323="",H323=""),"",G323*H323)</f>
        <v/>
      </c>
      <c r="J323" s="9" t="n"/>
      <c r="K323" s="9" t="n"/>
      <c r="L323" s="9">
        <f>IF(I323="","",I323-IF(J323="",0,J323)-IF(K323="",0,K323))</f>
        <v/>
      </c>
      <c r="M323" s="9">
        <f>IF(E323="","",XLOOKUP(E323,'Master Data'!$E$5:$E$15,'Master Data'!$G$5:$G$15,0))</f>
        <v/>
      </c>
      <c r="N323" s="9">
        <f>IF(E323="","",XLOOKUP(E323,'Master Data'!$E$5:$E$15,'Master Data'!$H$5:$H$15,0))</f>
        <v/>
      </c>
      <c r="O323" s="9">
        <f>IF(L323="","",L323-M323-N323)</f>
        <v/>
      </c>
      <c r="S323" s="9" t="n"/>
    </row>
    <row r="324">
      <c r="F324">
        <f>IF(E324="","",XLOOKUP(E324,'Master Data'!$E$5:$E$15,'Master Data'!$F$5:$F$15,""))</f>
        <v/>
      </c>
      <c r="H324" s="9" t="n"/>
      <c r="I324" s="9">
        <f>IF(OR(G324="",H324=""),"",G324*H324)</f>
        <v/>
      </c>
      <c r="J324" s="9" t="n"/>
      <c r="K324" s="9" t="n"/>
      <c r="L324" s="9">
        <f>IF(I324="","",I324-IF(J324="",0,J324)-IF(K324="",0,K324))</f>
        <v/>
      </c>
      <c r="M324" s="9">
        <f>IF(E324="","",XLOOKUP(E324,'Master Data'!$E$5:$E$15,'Master Data'!$G$5:$G$15,0))</f>
        <v/>
      </c>
      <c r="N324" s="9">
        <f>IF(E324="","",XLOOKUP(E324,'Master Data'!$E$5:$E$15,'Master Data'!$H$5:$H$15,0))</f>
        <v/>
      </c>
      <c r="O324" s="9">
        <f>IF(L324="","",L324-M324-N324)</f>
        <v/>
      </c>
      <c r="S324" s="9" t="n"/>
    </row>
    <row r="325">
      <c r="F325">
        <f>IF(E325="","",XLOOKUP(E325,'Master Data'!$E$5:$E$15,'Master Data'!$F$5:$F$15,""))</f>
        <v/>
      </c>
      <c r="H325" s="9" t="n"/>
      <c r="I325" s="9">
        <f>IF(OR(G325="",H325=""),"",G325*H325)</f>
        <v/>
      </c>
      <c r="J325" s="9" t="n"/>
      <c r="K325" s="9" t="n"/>
      <c r="L325" s="9">
        <f>IF(I325="","",I325-IF(J325="",0,J325)-IF(K325="",0,K325))</f>
        <v/>
      </c>
      <c r="M325" s="9">
        <f>IF(E325="","",XLOOKUP(E325,'Master Data'!$E$5:$E$15,'Master Data'!$G$5:$G$15,0))</f>
        <v/>
      </c>
      <c r="N325" s="9">
        <f>IF(E325="","",XLOOKUP(E325,'Master Data'!$E$5:$E$15,'Master Data'!$H$5:$H$15,0))</f>
        <v/>
      </c>
      <c r="O325" s="9">
        <f>IF(L325="","",L325-M325-N325)</f>
        <v/>
      </c>
      <c r="S325" s="9" t="n"/>
    </row>
    <row r="326">
      <c r="F326">
        <f>IF(E326="","",XLOOKUP(E326,'Master Data'!$E$5:$E$15,'Master Data'!$F$5:$F$15,""))</f>
        <v/>
      </c>
      <c r="H326" s="9" t="n"/>
      <c r="I326" s="9">
        <f>IF(OR(G326="",H326=""),"",G326*H326)</f>
        <v/>
      </c>
      <c r="J326" s="9" t="n"/>
      <c r="K326" s="9" t="n"/>
      <c r="L326" s="9">
        <f>IF(I326="","",I326-IF(J326="",0,J326)-IF(K326="",0,K326))</f>
        <v/>
      </c>
      <c r="M326" s="9">
        <f>IF(E326="","",XLOOKUP(E326,'Master Data'!$E$5:$E$15,'Master Data'!$G$5:$G$15,0))</f>
        <v/>
      </c>
      <c r="N326" s="9">
        <f>IF(E326="","",XLOOKUP(E326,'Master Data'!$E$5:$E$15,'Master Data'!$H$5:$H$15,0))</f>
        <v/>
      </c>
      <c r="O326" s="9">
        <f>IF(L326="","",L326-M326-N326)</f>
        <v/>
      </c>
      <c r="S326" s="9" t="n"/>
    </row>
    <row r="327">
      <c r="F327">
        <f>IF(E327="","",XLOOKUP(E327,'Master Data'!$E$5:$E$15,'Master Data'!$F$5:$F$15,""))</f>
        <v/>
      </c>
      <c r="H327" s="9" t="n"/>
      <c r="I327" s="9">
        <f>IF(OR(G327="",H327=""),"",G327*H327)</f>
        <v/>
      </c>
      <c r="J327" s="9" t="n"/>
      <c r="K327" s="9" t="n"/>
      <c r="L327" s="9">
        <f>IF(I327="","",I327-IF(J327="",0,J327)-IF(K327="",0,K327))</f>
        <v/>
      </c>
      <c r="M327" s="9">
        <f>IF(E327="","",XLOOKUP(E327,'Master Data'!$E$5:$E$15,'Master Data'!$G$5:$G$15,0))</f>
        <v/>
      </c>
      <c r="N327" s="9">
        <f>IF(E327="","",XLOOKUP(E327,'Master Data'!$E$5:$E$15,'Master Data'!$H$5:$H$15,0))</f>
        <v/>
      </c>
      <c r="O327" s="9">
        <f>IF(L327="","",L327-M327-N327)</f>
        <v/>
      </c>
      <c r="S327" s="9" t="n"/>
    </row>
    <row r="328">
      <c r="F328">
        <f>IF(E328="","",XLOOKUP(E328,'Master Data'!$E$5:$E$15,'Master Data'!$F$5:$F$15,""))</f>
        <v/>
      </c>
      <c r="H328" s="9" t="n"/>
      <c r="I328" s="9">
        <f>IF(OR(G328="",H328=""),"",G328*H328)</f>
        <v/>
      </c>
      <c r="J328" s="9" t="n"/>
      <c r="K328" s="9" t="n"/>
      <c r="L328" s="9">
        <f>IF(I328="","",I328-IF(J328="",0,J328)-IF(K328="",0,K328))</f>
        <v/>
      </c>
      <c r="M328" s="9">
        <f>IF(E328="","",XLOOKUP(E328,'Master Data'!$E$5:$E$15,'Master Data'!$G$5:$G$15,0))</f>
        <v/>
      </c>
      <c r="N328" s="9">
        <f>IF(E328="","",XLOOKUP(E328,'Master Data'!$E$5:$E$15,'Master Data'!$H$5:$H$15,0))</f>
        <v/>
      </c>
      <c r="O328" s="9">
        <f>IF(L328="","",L328-M328-N328)</f>
        <v/>
      </c>
      <c r="S328" s="9" t="n"/>
    </row>
    <row r="329">
      <c r="F329">
        <f>IF(E329="","",XLOOKUP(E329,'Master Data'!$E$5:$E$15,'Master Data'!$F$5:$F$15,""))</f>
        <v/>
      </c>
      <c r="H329" s="9" t="n"/>
      <c r="I329" s="9">
        <f>IF(OR(G329="",H329=""),"",G329*H329)</f>
        <v/>
      </c>
      <c r="J329" s="9" t="n"/>
      <c r="K329" s="9" t="n"/>
      <c r="L329" s="9">
        <f>IF(I329="","",I329-IF(J329="",0,J329)-IF(K329="",0,K329))</f>
        <v/>
      </c>
      <c r="M329" s="9">
        <f>IF(E329="","",XLOOKUP(E329,'Master Data'!$E$5:$E$15,'Master Data'!$G$5:$G$15,0))</f>
        <v/>
      </c>
      <c r="N329" s="9">
        <f>IF(E329="","",XLOOKUP(E329,'Master Data'!$E$5:$E$15,'Master Data'!$H$5:$H$15,0))</f>
        <v/>
      </c>
      <c r="O329" s="9">
        <f>IF(L329="","",L329-M329-N329)</f>
        <v/>
      </c>
      <c r="S329" s="9" t="n"/>
    </row>
    <row r="330">
      <c r="F330">
        <f>IF(E330="","",XLOOKUP(E330,'Master Data'!$E$5:$E$15,'Master Data'!$F$5:$F$15,""))</f>
        <v/>
      </c>
      <c r="H330" s="9" t="n"/>
      <c r="I330" s="9">
        <f>IF(OR(G330="",H330=""),"",G330*H330)</f>
        <v/>
      </c>
      <c r="J330" s="9" t="n"/>
      <c r="K330" s="9" t="n"/>
      <c r="L330" s="9">
        <f>IF(I330="","",I330-IF(J330="",0,J330)-IF(K330="",0,K330))</f>
        <v/>
      </c>
      <c r="M330" s="9">
        <f>IF(E330="","",XLOOKUP(E330,'Master Data'!$E$5:$E$15,'Master Data'!$G$5:$G$15,0))</f>
        <v/>
      </c>
      <c r="N330" s="9">
        <f>IF(E330="","",XLOOKUP(E330,'Master Data'!$E$5:$E$15,'Master Data'!$H$5:$H$15,0))</f>
        <v/>
      </c>
      <c r="O330" s="9">
        <f>IF(L330="","",L330-M330-N330)</f>
        <v/>
      </c>
      <c r="S330" s="9" t="n"/>
    </row>
    <row r="331">
      <c r="F331">
        <f>IF(E331="","",XLOOKUP(E331,'Master Data'!$E$5:$E$15,'Master Data'!$F$5:$F$15,""))</f>
        <v/>
      </c>
      <c r="H331" s="9" t="n"/>
      <c r="I331" s="9">
        <f>IF(OR(G331="",H331=""),"",G331*H331)</f>
        <v/>
      </c>
      <c r="J331" s="9" t="n"/>
      <c r="K331" s="9" t="n"/>
      <c r="L331" s="9">
        <f>IF(I331="","",I331-IF(J331="",0,J331)-IF(K331="",0,K331))</f>
        <v/>
      </c>
      <c r="M331" s="9">
        <f>IF(E331="","",XLOOKUP(E331,'Master Data'!$E$5:$E$15,'Master Data'!$G$5:$G$15,0))</f>
        <v/>
      </c>
      <c r="N331" s="9">
        <f>IF(E331="","",XLOOKUP(E331,'Master Data'!$E$5:$E$15,'Master Data'!$H$5:$H$15,0))</f>
        <v/>
      </c>
      <c r="O331" s="9">
        <f>IF(L331="","",L331-M331-N331)</f>
        <v/>
      </c>
      <c r="S331" s="9" t="n"/>
    </row>
    <row r="332">
      <c r="F332">
        <f>IF(E332="","",XLOOKUP(E332,'Master Data'!$E$5:$E$15,'Master Data'!$F$5:$F$15,""))</f>
        <v/>
      </c>
      <c r="H332" s="9" t="n"/>
      <c r="I332" s="9">
        <f>IF(OR(G332="",H332=""),"",G332*H332)</f>
        <v/>
      </c>
      <c r="J332" s="9" t="n"/>
      <c r="K332" s="9" t="n"/>
      <c r="L332" s="9">
        <f>IF(I332="","",I332-IF(J332="",0,J332)-IF(K332="",0,K332))</f>
        <v/>
      </c>
      <c r="M332" s="9">
        <f>IF(E332="","",XLOOKUP(E332,'Master Data'!$E$5:$E$15,'Master Data'!$G$5:$G$15,0))</f>
        <v/>
      </c>
      <c r="N332" s="9">
        <f>IF(E332="","",XLOOKUP(E332,'Master Data'!$E$5:$E$15,'Master Data'!$H$5:$H$15,0))</f>
        <v/>
      </c>
      <c r="O332" s="9">
        <f>IF(L332="","",L332-M332-N332)</f>
        <v/>
      </c>
      <c r="S332" s="9" t="n"/>
    </row>
    <row r="333">
      <c r="F333">
        <f>IF(E333="","",XLOOKUP(E333,'Master Data'!$E$5:$E$15,'Master Data'!$F$5:$F$15,""))</f>
        <v/>
      </c>
      <c r="H333" s="9" t="n"/>
      <c r="I333" s="9">
        <f>IF(OR(G333="",H333=""),"",G333*H333)</f>
        <v/>
      </c>
      <c r="J333" s="9" t="n"/>
      <c r="K333" s="9" t="n"/>
      <c r="L333" s="9">
        <f>IF(I333="","",I333-IF(J333="",0,J333)-IF(K333="",0,K333))</f>
        <v/>
      </c>
      <c r="M333" s="9">
        <f>IF(E333="","",XLOOKUP(E333,'Master Data'!$E$5:$E$15,'Master Data'!$G$5:$G$15,0))</f>
        <v/>
      </c>
      <c r="N333" s="9">
        <f>IF(E333="","",XLOOKUP(E333,'Master Data'!$E$5:$E$15,'Master Data'!$H$5:$H$15,0))</f>
        <v/>
      </c>
      <c r="O333" s="9">
        <f>IF(L333="","",L333-M333-N333)</f>
        <v/>
      </c>
      <c r="S333" s="9" t="n"/>
    </row>
    <row r="334">
      <c r="F334">
        <f>IF(E334="","",XLOOKUP(E334,'Master Data'!$E$5:$E$15,'Master Data'!$F$5:$F$15,""))</f>
        <v/>
      </c>
      <c r="H334" s="9" t="n"/>
      <c r="I334" s="9">
        <f>IF(OR(G334="",H334=""),"",G334*H334)</f>
        <v/>
      </c>
      <c r="J334" s="9" t="n"/>
      <c r="K334" s="9" t="n"/>
      <c r="L334" s="9">
        <f>IF(I334="","",I334-IF(J334="",0,J334)-IF(K334="",0,K334))</f>
        <v/>
      </c>
      <c r="M334" s="9">
        <f>IF(E334="","",XLOOKUP(E334,'Master Data'!$E$5:$E$15,'Master Data'!$G$5:$G$15,0))</f>
        <v/>
      </c>
      <c r="N334" s="9">
        <f>IF(E334="","",XLOOKUP(E334,'Master Data'!$E$5:$E$15,'Master Data'!$H$5:$H$15,0))</f>
        <v/>
      </c>
      <c r="O334" s="9">
        <f>IF(L334="","",L334-M334-N334)</f>
        <v/>
      </c>
      <c r="S334" s="9" t="n"/>
    </row>
    <row r="335">
      <c r="F335">
        <f>IF(E335="","",XLOOKUP(E335,'Master Data'!$E$5:$E$15,'Master Data'!$F$5:$F$15,""))</f>
        <v/>
      </c>
      <c r="H335" s="9" t="n"/>
      <c r="I335" s="9">
        <f>IF(OR(G335="",H335=""),"",G335*H335)</f>
        <v/>
      </c>
      <c r="J335" s="9" t="n"/>
      <c r="K335" s="9" t="n"/>
      <c r="L335" s="9">
        <f>IF(I335="","",I335-IF(J335="",0,J335)-IF(K335="",0,K335))</f>
        <v/>
      </c>
      <c r="M335" s="9">
        <f>IF(E335="","",XLOOKUP(E335,'Master Data'!$E$5:$E$15,'Master Data'!$G$5:$G$15,0))</f>
        <v/>
      </c>
      <c r="N335" s="9">
        <f>IF(E335="","",XLOOKUP(E335,'Master Data'!$E$5:$E$15,'Master Data'!$H$5:$H$15,0))</f>
        <v/>
      </c>
      <c r="O335" s="9">
        <f>IF(L335="","",L335-M335-N335)</f>
        <v/>
      </c>
      <c r="S335" s="9" t="n"/>
    </row>
    <row r="336">
      <c r="F336">
        <f>IF(E336="","",XLOOKUP(E336,'Master Data'!$E$5:$E$15,'Master Data'!$F$5:$F$15,""))</f>
        <v/>
      </c>
      <c r="H336" s="9" t="n"/>
      <c r="I336" s="9">
        <f>IF(OR(G336="",H336=""),"",G336*H336)</f>
        <v/>
      </c>
      <c r="J336" s="9" t="n"/>
      <c r="K336" s="9" t="n"/>
      <c r="L336" s="9">
        <f>IF(I336="","",I336-IF(J336="",0,J336)-IF(K336="",0,K336))</f>
        <v/>
      </c>
      <c r="M336" s="9">
        <f>IF(E336="","",XLOOKUP(E336,'Master Data'!$E$5:$E$15,'Master Data'!$G$5:$G$15,0))</f>
        <v/>
      </c>
      <c r="N336" s="9">
        <f>IF(E336="","",XLOOKUP(E336,'Master Data'!$E$5:$E$15,'Master Data'!$H$5:$H$15,0))</f>
        <v/>
      </c>
      <c r="O336" s="9">
        <f>IF(L336="","",L336-M336-N336)</f>
        <v/>
      </c>
      <c r="S336" s="9" t="n"/>
    </row>
    <row r="337">
      <c r="F337">
        <f>IF(E337="","",XLOOKUP(E337,'Master Data'!$E$5:$E$15,'Master Data'!$F$5:$F$15,""))</f>
        <v/>
      </c>
      <c r="H337" s="9" t="n"/>
      <c r="I337" s="9">
        <f>IF(OR(G337="",H337=""),"",G337*H337)</f>
        <v/>
      </c>
      <c r="J337" s="9" t="n"/>
      <c r="K337" s="9" t="n"/>
      <c r="L337" s="9">
        <f>IF(I337="","",I337-IF(J337="",0,J337)-IF(K337="",0,K337))</f>
        <v/>
      </c>
      <c r="M337" s="9">
        <f>IF(E337="","",XLOOKUP(E337,'Master Data'!$E$5:$E$15,'Master Data'!$G$5:$G$15,0))</f>
        <v/>
      </c>
      <c r="N337" s="9">
        <f>IF(E337="","",XLOOKUP(E337,'Master Data'!$E$5:$E$15,'Master Data'!$H$5:$H$15,0))</f>
        <v/>
      </c>
      <c r="O337" s="9">
        <f>IF(L337="","",L337-M337-N337)</f>
        <v/>
      </c>
      <c r="S337" s="9" t="n"/>
    </row>
    <row r="338">
      <c r="F338">
        <f>IF(E338="","",XLOOKUP(E338,'Master Data'!$E$5:$E$15,'Master Data'!$F$5:$F$15,""))</f>
        <v/>
      </c>
      <c r="H338" s="9" t="n"/>
      <c r="I338" s="9">
        <f>IF(OR(G338="",H338=""),"",G338*H338)</f>
        <v/>
      </c>
      <c r="J338" s="9" t="n"/>
      <c r="K338" s="9" t="n"/>
      <c r="L338" s="9">
        <f>IF(I338="","",I338-IF(J338="",0,J338)-IF(K338="",0,K338))</f>
        <v/>
      </c>
      <c r="M338" s="9">
        <f>IF(E338="","",XLOOKUP(E338,'Master Data'!$E$5:$E$15,'Master Data'!$G$5:$G$15,0))</f>
        <v/>
      </c>
      <c r="N338" s="9">
        <f>IF(E338="","",XLOOKUP(E338,'Master Data'!$E$5:$E$15,'Master Data'!$H$5:$H$15,0))</f>
        <v/>
      </c>
      <c r="O338" s="9">
        <f>IF(L338="","",L338-M338-N338)</f>
        <v/>
      </c>
      <c r="S338" s="9" t="n"/>
    </row>
    <row r="339">
      <c r="F339">
        <f>IF(E339="","",XLOOKUP(E339,'Master Data'!$E$5:$E$15,'Master Data'!$F$5:$F$15,""))</f>
        <v/>
      </c>
      <c r="H339" s="9" t="n"/>
      <c r="I339" s="9">
        <f>IF(OR(G339="",H339=""),"",G339*H339)</f>
        <v/>
      </c>
      <c r="J339" s="9" t="n"/>
      <c r="K339" s="9" t="n"/>
      <c r="L339" s="9">
        <f>IF(I339="","",I339-IF(J339="",0,J339)-IF(K339="",0,K339))</f>
        <v/>
      </c>
      <c r="M339" s="9">
        <f>IF(E339="","",XLOOKUP(E339,'Master Data'!$E$5:$E$15,'Master Data'!$G$5:$G$15,0))</f>
        <v/>
      </c>
      <c r="N339" s="9">
        <f>IF(E339="","",XLOOKUP(E339,'Master Data'!$E$5:$E$15,'Master Data'!$H$5:$H$15,0))</f>
        <v/>
      </c>
      <c r="O339" s="9">
        <f>IF(L339="","",L339-M339-N339)</f>
        <v/>
      </c>
      <c r="S339" s="9" t="n"/>
    </row>
    <row r="340">
      <c r="F340">
        <f>IF(E340="","",XLOOKUP(E340,'Master Data'!$E$5:$E$15,'Master Data'!$F$5:$F$15,""))</f>
        <v/>
      </c>
      <c r="H340" s="9" t="n"/>
      <c r="I340" s="9">
        <f>IF(OR(G340="",H340=""),"",G340*H340)</f>
        <v/>
      </c>
      <c r="J340" s="9" t="n"/>
      <c r="K340" s="9" t="n"/>
      <c r="L340" s="9">
        <f>IF(I340="","",I340-IF(J340="",0,J340)-IF(K340="",0,K340))</f>
        <v/>
      </c>
      <c r="M340" s="9">
        <f>IF(E340="","",XLOOKUP(E340,'Master Data'!$E$5:$E$15,'Master Data'!$G$5:$G$15,0))</f>
        <v/>
      </c>
      <c r="N340" s="9">
        <f>IF(E340="","",XLOOKUP(E340,'Master Data'!$E$5:$E$15,'Master Data'!$H$5:$H$15,0))</f>
        <v/>
      </c>
      <c r="O340" s="9">
        <f>IF(L340="","",L340-M340-N340)</f>
        <v/>
      </c>
      <c r="S340" s="9" t="n"/>
    </row>
    <row r="341">
      <c r="F341">
        <f>IF(E341="","",XLOOKUP(E341,'Master Data'!$E$5:$E$15,'Master Data'!$F$5:$F$15,""))</f>
        <v/>
      </c>
      <c r="H341" s="9" t="n"/>
      <c r="I341" s="9">
        <f>IF(OR(G341="",H341=""),"",G341*H341)</f>
        <v/>
      </c>
      <c r="J341" s="9" t="n"/>
      <c r="K341" s="9" t="n"/>
      <c r="L341" s="9">
        <f>IF(I341="","",I341-IF(J341="",0,J341)-IF(K341="",0,K341))</f>
        <v/>
      </c>
      <c r="M341" s="9">
        <f>IF(E341="","",XLOOKUP(E341,'Master Data'!$E$5:$E$15,'Master Data'!$G$5:$G$15,0))</f>
        <v/>
      </c>
      <c r="N341" s="9">
        <f>IF(E341="","",XLOOKUP(E341,'Master Data'!$E$5:$E$15,'Master Data'!$H$5:$H$15,0))</f>
        <v/>
      </c>
      <c r="O341" s="9">
        <f>IF(L341="","",L341-M341-N341)</f>
        <v/>
      </c>
      <c r="S341" s="9" t="n"/>
    </row>
    <row r="342">
      <c r="F342">
        <f>IF(E342="","",XLOOKUP(E342,'Master Data'!$E$5:$E$15,'Master Data'!$F$5:$F$15,""))</f>
        <v/>
      </c>
      <c r="H342" s="9" t="n"/>
      <c r="I342" s="9">
        <f>IF(OR(G342="",H342=""),"",G342*H342)</f>
        <v/>
      </c>
      <c r="J342" s="9" t="n"/>
      <c r="K342" s="9" t="n"/>
      <c r="L342" s="9">
        <f>IF(I342="","",I342-IF(J342="",0,J342)-IF(K342="",0,K342))</f>
        <v/>
      </c>
      <c r="M342" s="9">
        <f>IF(E342="","",XLOOKUP(E342,'Master Data'!$E$5:$E$15,'Master Data'!$G$5:$G$15,0))</f>
        <v/>
      </c>
      <c r="N342" s="9">
        <f>IF(E342="","",XLOOKUP(E342,'Master Data'!$E$5:$E$15,'Master Data'!$H$5:$H$15,0))</f>
        <v/>
      </c>
      <c r="O342" s="9">
        <f>IF(L342="","",L342-M342-N342)</f>
        <v/>
      </c>
      <c r="S342" s="9" t="n"/>
    </row>
    <row r="343">
      <c r="F343">
        <f>IF(E343="","",XLOOKUP(E343,'Master Data'!$E$5:$E$15,'Master Data'!$F$5:$F$15,""))</f>
        <v/>
      </c>
      <c r="H343" s="9" t="n"/>
      <c r="I343" s="9">
        <f>IF(OR(G343="",H343=""),"",G343*H343)</f>
        <v/>
      </c>
      <c r="J343" s="9" t="n"/>
      <c r="K343" s="9" t="n"/>
      <c r="L343" s="9">
        <f>IF(I343="","",I343-IF(J343="",0,J343)-IF(K343="",0,K343))</f>
        <v/>
      </c>
      <c r="M343" s="9">
        <f>IF(E343="","",XLOOKUP(E343,'Master Data'!$E$5:$E$15,'Master Data'!$G$5:$G$15,0))</f>
        <v/>
      </c>
      <c r="N343" s="9">
        <f>IF(E343="","",XLOOKUP(E343,'Master Data'!$E$5:$E$15,'Master Data'!$H$5:$H$15,0))</f>
        <v/>
      </c>
      <c r="O343" s="9">
        <f>IF(L343="","",L343-M343-N343)</f>
        <v/>
      </c>
      <c r="S343" s="9" t="n"/>
    </row>
    <row r="344">
      <c r="F344">
        <f>IF(E344="","",XLOOKUP(E344,'Master Data'!$E$5:$E$15,'Master Data'!$F$5:$F$15,""))</f>
        <v/>
      </c>
      <c r="H344" s="9" t="n"/>
      <c r="I344" s="9">
        <f>IF(OR(G344="",H344=""),"",G344*H344)</f>
        <v/>
      </c>
      <c r="J344" s="9" t="n"/>
      <c r="K344" s="9" t="n"/>
      <c r="L344" s="9">
        <f>IF(I344="","",I344-IF(J344="",0,J344)-IF(K344="",0,K344))</f>
        <v/>
      </c>
      <c r="M344" s="9">
        <f>IF(E344="","",XLOOKUP(E344,'Master Data'!$E$5:$E$15,'Master Data'!$G$5:$G$15,0))</f>
        <v/>
      </c>
      <c r="N344" s="9">
        <f>IF(E344="","",XLOOKUP(E344,'Master Data'!$E$5:$E$15,'Master Data'!$H$5:$H$15,0))</f>
        <v/>
      </c>
      <c r="O344" s="9">
        <f>IF(L344="","",L344-M344-N344)</f>
        <v/>
      </c>
      <c r="S344" s="9" t="n"/>
    </row>
    <row r="345">
      <c r="F345">
        <f>IF(E345="","",XLOOKUP(E345,'Master Data'!$E$5:$E$15,'Master Data'!$F$5:$F$15,""))</f>
        <v/>
      </c>
      <c r="H345" s="9" t="n"/>
      <c r="I345" s="9">
        <f>IF(OR(G345="",H345=""),"",G345*H345)</f>
        <v/>
      </c>
      <c r="J345" s="9" t="n"/>
      <c r="K345" s="9" t="n"/>
      <c r="L345" s="9">
        <f>IF(I345="","",I345-IF(J345="",0,J345)-IF(K345="",0,K345))</f>
        <v/>
      </c>
      <c r="M345" s="9">
        <f>IF(E345="","",XLOOKUP(E345,'Master Data'!$E$5:$E$15,'Master Data'!$G$5:$G$15,0))</f>
        <v/>
      </c>
      <c r="N345" s="9">
        <f>IF(E345="","",XLOOKUP(E345,'Master Data'!$E$5:$E$15,'Master Data'!$H$5:$H$15,0))</f>
        <v/>
      </c>
      <c r="O345" s="9">
        <f>IF(L345="","",L345-M345-N345)</f>
        <v/>
      </c>
      <c r="S345" s="9" t="n"/>
    </row>
    <row r="346">
      <c r="F346">
        <f>IF(E346="","",XLOOKUP(E346,'Master Data'!$E$5:$E$15,'Master Data'!$F$5:$F$15,""))</f>
        <v/>
      </c>
      <c r="H346" s="9" t="n"/>
      <c r="I346" s="9">
        <f>IF(OR(G346="",H346=""),"",G346*H346)</f>
        <v/>
      </c>
      <c r="J346" s="9" t="n"/>
      <c r="K346" s="9" t="n"/>
      <c r="L346" s="9">
        <f>IF(I346="","",I346-IF(J346="",0,J346)-IF(K346="",0,K346))</f>
        <v/>
      </c>
      <c r="M346" s="9">
        <f>IF(E346="","",XLOOKUP(E346,'Master Data'!$E$5:$E$15,'Master Data'!$G$5:$G$15,0))</f>
        <v/>
      </c>
      <c r="N346" s="9">
        <f>IF(E346="","",XLOOKUP(E346,'Master Data'!$E$5:$E$15,'Master Data'!$H$5:$H$15,0))</f>
        <v/>
      </c>
      <c r="O346" s="9">
        <f>IF(L346="","",L346-M346-N346)</f>
        <v/>
      </c>
      <c r="S346" s="9" t="n"/>
    </row>
    <row r="347">
      <c r="F347">
        <f>IF(E347="","",XLOOKUP(E347,'Master Data'!$E$5:$E$15,'Master Data'!$F$5:$F$15,""))</f>
        <v/>
      </c>
      <c r="H347" s="9" t="n"/>
      <c r="I347" s="9">
        <f>IF(OR(G347="",H347=""),"",G347*H347)</f>
        <v/>
      </c>
      <c r="J347" s="9" t="n"/>
      <c r="K347" s="9" t="n"/>
      <c r="L347" s="9">
        <f>IF(I347="","",I347-IF(J347="",0,J347)-IF(K347="",0,K347))</f>
        <v/>
      </c>
      <c r="M347" s="9">
        <f>IF(E347="","",XLOOKUP(E347,'Master Data'!$E$5:$E$15,'Master Data'!$G$5:$G$15,0))</f>
        <v/>
      </c>
      <c r="N347" s="9">
        <f>IF(E347="","",XLOOKUP(E347,'Master Data'!$E$5:$E$15,'Master Data'!$H$5:$H$15,0))</f>
        <v/>
      </c>
      <c r="O347" s="9">
        <f>IF(L347="","",L347-M347-N347)</f>
        <v/>
      </c>
      <c r="S347" s="9" t="n"/>
    </row>
    <row r="348">
      <c r="F348">
        <f>IF(E348="","",XLOOKUP(E348,'Master Data'!$E$5:$E$15,'Master Data'!$F$5:$F$15,""))</f>
        <v/>
      </c>
      <c r="H348" s="9" t="n"/>
      <c r="I348" s="9">
        <f>IF(OR(G348="",H348=""),"",G348*H348)</f>
        <v/>
      </c>
      <c r="J348" s="9" t="n"/>
      <c r="K348" s="9" t="n"/>
      <c r="L348" s="9">
        <f>IF(I348="","",I348-IF(J348="",0,J348)-IF(K348="",0,K348))</f>
        <v/>
      </c>
      <c r="M348" s="9">
        <f>IF(E348="","",XLOOKUP(E348,'Master Data'!$E$5:$E$15,'Master Data'!$G$5:$G$15,0))</f>
        <v/>
      </c>
      <c r="N348" s="9">
        <f>IF(E348="","",XLOOKUP(E348,'Master Data'!$E$5:$E$15,'Master Data'!$H$5:$H$15,0))</f>
        <v/>
      </c>
      <c r="O348" s="9">
        <f>IF(L348="","",L348-M348-N348)</f>
        <v/>
      </c>
      <c r="S348" s="9" t="n"/>
    </row>
    <row r="349">
      <c r="F349">
        <f>IF(E349="","",XLOOKUP(E349,'Master Data'!$E$5:$E$15,'Master Data'!$F$5:$F$15,""))</f>
        <v/>
      </c>
      <c r="H349" s="9" t="n"/>
      <c r="I349" s="9">
        <f>IF(OR(G349="",H349=""),"",G349*H349)</f>
        <v/>
      </c>
      <c r="J349" s="9" t="n"/>
      <c r="K349" s="9" t="n"/>
      <c r="L349" s="9">
        <f>IF(I349="","",I349-IF(J349="",0,J349)-IF(K349="",0,K349))</f>
        <v/>
      </c>
      <c r="M349" s="9">
        <f>IF(E349="","",XLOOKUP(E349,'Master Data'!$E$5:$E$15,'Master Data'!$G$5:$G$15,0))</f>
        <v/>
      </c>
      <c r="N349" s="9">
        <f>IF(E349="","",XLOOKUP(E349,'Master Data'!$E$5:$E$15,'Master Data'!$H$5:$H$15,0))</f>
        <v/>
      </c>
      <c r="O349" s="9">
        <f>IF(L349="","",L349-M349-N349)</f>
        <v/>
      </c>
      <c r="S349" s="9" t="n"/>
    </row>
    <row r="350">
      <c r="F350">
        <f>IF(E350="","",XLOOKUP(E350,'Master Data'!$E$5:$E$15,'Master Data'!$F$5:$F$15,""))</f>
        <v/>
      </c>
      <c r="H350" s="9" t="n"/>
      <c r="I350" s="9">
        <f>IF(OR(G350="",H350=""),"",G350*H350)</f>
        <v/>
      </c>
      <c r="J350" s="9" t="n"/>
      <c r="K350" s="9" t="n"/>
      <c r="L350" s="9">
        <f>IF(I350="","",I350-IF(J350="",0,J350)-IF(K350="",0,K350))</f>
        <v/>
      </c>
      <c r="M350" s="9">
        <f>IF(E350="","",XLOOKUP(E350,'Master Data'!$E$5:$E$15,'Master Data'!$G$5:$G$15,0))</f>
        <v/>
      </c>
      <c r="N350" s="9">
        <f>IF(E350="","",XLOOKUP(E350,'Master Data'!$E$5:$E$15,'Master Data'!$H$5:$H$15,0))</f>
        <v/>
      </c>
      <c r="O350" s="9">
        <f>IF(L350="","",L350-M350-N350)</f>
        <v/>
      </c>
      <c r="S350" s="9" t="n"/>
    </row>
    <row r="351">
      <c r="F351">
        <f>IF(E351="","",XLOOKUP(E351,'Master Data'!$E$5:$E$15,'Master Data'!$F$5:$F$15,""))</f>
        <v/>
      </c>
      <c r="H351" s="9" t="n"/>
      <c r="I351" s="9">
        <f>IF(OR(G351="",H351=""),"",G351*H351)</f>
        <v/>
      </c>
      <c r="J351" s="9" t="n"/>
      <c r="K351" s="9" t="n"/>
      <c r="L351" s="9">
        <f>IF(I351="","",I351-IF(J351="",0,J351)-IF(K351="",0,K351))</f>
        <v/>
      </c>
      <c r="M351" s="9">
        <f>IF(E351="","",XLOOKUP(E351,'Master Data'!$E$5:$E$15,'Master Data'!$G$5:$G$15,0))</f>
        <v/>
      </c>
      <c r="N351" s="9">
        <f>IF(E351="","",XLOOKUP(E351,'Master Data'!$E$5:$E$15,'Master Data'!$H$5:$H$15,0))</f>
        <v/>
      </c>
      <c r="O351" s="9">
        <f>IF(L351="","",L351-M351-N351)</f>
        <v/>
      </c>
      <c r="S351" s="9" t="n"/>
    </row>
    <row r="352">
      <c r="F352">
        <f>IF(E352="","",XLOOKUP(E352,'Master Data'!$E$5:$E$15,'Master Data'!$F$5:$F$15,""))</f>
        <v/>
      </c>
      <c r="H352" s="9" t="n"/>
      <c r="I352" s="9">
        <f>IF(OR(G352="",H352=""),"",G352*H352)</f>
        <v/>
      </c>
      <c r="J352" s="9" t="n"/>
      <c r="K352" s="9" t="n"/>
      <c r="L352" s="9">
        <f>IF(I352="","",I352-IF(J352="",0,J352)-IF(K352="",0,K352))</f>
        <v/>
      </c>
      <c r="M352" s="9">
        <f>IF(E352="","",XLOOKUP(E352,'Master Data'!$E$5:$E$15,'Master Data'!$G$5:$G$15,0))</f>
        <v/>
      </c>
      <c r="N352" s="9">
        <f>IF(E352="","",XLOOKUP(E352,'Master Data'!$E$5:$E$15,'Master Data'!$H$5:$H$15,0))</f>
        <v/>
      </c>
      <c r="O352" s="9">
        <f>IF(L352="","",L352-M352-N352)</f>
        <v/>
      </c>
      <c r="S352" s="9" t="n"/>
    </row>
    <row r="353">
      <c r="F353">
        <f>IF(E353="","",XLOOKUP(E353,'Master Data'!$E$5:$E$15,'Master Data'!$F$5:$F$15,""))</f>
        <v/>
      </c>
      <c r="H353" s="9" t="n"/>
      <c r="I353" s="9">
        <f>IF(OR(G353="",H353=""),"",G353*H353)</f>
        <v/>
      </c>
      <c r="J353" s="9" t="n"/>
      <c r="K353" s="9" t="n"/>
      <c r="L353" s="9">
        <f>IF(I353="","",I353-IF(J353="",0,J353)-IF(K353="",0,K353))</f>
        <v/>
      </c>
      <c r="M353" s="9">
        <f>IF(E353="","",XLOOKUP(E353,'Master Data'!$E$5:$E$15,'Master Data'!$G$5:$G$15,0))</f>
        <v/>
      </c>
      <c r="N353" s="9">
        <f>IF(E353="","",XLOOKUP(E353,'Master Data'!$E$5:$E$15,'Master Data'!$H$5:$H$15,0))</f>
        <v/>
      </c>
      <c r="O353" s="9">
        <f>IF(L353="","",L353-M353-N353)</f>
        <v/>
      </c>
      <c r="S353" s="9" t="n"/>
    </row>
    <row r="354">
      <c r="F354">
        <f>IF(E354="","",XLOOKUP(E354,'Master Data'!$E$5:$E$15,'Master Data'!$F$5:$F$15,""))</f>
        <v/>
      </c>
      <c r="H354" s="9" t="n"/>
      <c r="I354" s="9">
        <f>IF(OR(G354="",H354=""),"",G354*H354)</f>
        <v/>
      </c>
      <c r="J354" s="9" t="n"/>
      <c r="K354" s="9" t="n"/>
      <c r="L354" s="9">
        <f>IF(I354="","",I354-IF(J354="",0,J354)-IF(K354="",0,K354))</f>
        <v/>
      </c>
      <c r="M354" s="9">
        <f>IF(E354="","",XLOOKUP(E354,'Master Data'!$E$5:$E$15,'Master Data'!$G$5:$G$15,0))</f>
        <v/>
      </c>
      <c r="N354" s="9">
        <f>IF(E354="","",XLOOKUP(E354,'Master Data'!$E$5:$E$15,'Master Data'!$H$5:$H$15,0))</f>
        <v/>
      </c>
      <c r="O354" s="9">
        <f>IF(L354="","",L354-M354-N354)</f>
        <v/>
      </c>
      <c r="S354" s="9" t="n"/>
    </row>
    <row r="355">
      <c r="F355">
        <f>IF(E355="","",XLOOKUP(E355,'Master Data'!$E$5:$E$15,'Master Data'!$F$5:$F$15,""))</f>
        <v/>
      </c>
      <c r="H355" s="9" t="n"/>
      <c r="I355" s="9">
        <f>IF(OR(G355="",H355=""),"",G355*H355)</f>
        <v/>
      </c>
      <c r="J355" s="9" t="n"/>
      <c r="K355" s="9" t="n"/>
      <c r="L355" s="9">
        <f>IF(I355="","",I355-IF(J355="",0,J355)-IF(K355="",0,K355))</f>
        <v/>
      </c>
      <c r="M355" s="9">
        <f>IF(E355="","",XLOOKUP(E355,'Master Data'!$E$5:$E$15,'Master Data'!$G$5:$G$15,0))</f>
        <v/>
      </c>
      <c r="N355" s="9">
        <f>IF(E355="","",XLOOKUP(E355,'Master Data'!$E$5:$E$15,'Master Data'!$H$5:$H$15,0))</f>
        <v/>
      </c>
      <c r="O355" s="9">
        <f>IF(L355="","",L355-M355-N355)</f>
        <v/>
      </c>
      <c r="S355" s="9" t="n"/>
    </row>
    <row r="356">
      <c r="F356">
        <f>IF(E356="","",XLOOKUP(E356,'Master Data'!$E$5:$E$15,'Master Data'!$F$5:$F$15,""))</f>
        <v/>
      </c>
      <c r="H356" s="9" t="n"/>
      <c r="I356" s="9">
        <f>IF(OR(G356="",H356=""),"",G356*H356)</f>
        <v/>
      </c>
      <c r="J356" s="9" t="n"/>
      <c r="K356" s="9" t="n"/>
      <c r="L356" s="9">
        <f>IF(I356="","",I356-IF(J356="",0,J356)-IF(K356="",0,K356))</f>
        <v/>
      </c>
      <c r="M356" s="9">
        <f>IF(E356="","",XLOOKUP(E356,'Master Data'!$E$5:$E$15,'Master Data'!$G$5:$G$15,0))</f>
        <v/>
      </c>
      <c r="N356" s="9">
        <f>IF(E356="","",XLOOKUP(E356,'Master Data'!$E$5:$E$15,'Master Data'!$H$5:$H$15,0))</f>
        <v/>
      </c>
      <c r="O356" s="9">
        <f>IF(L356="","",L356-M356-N356)</f>
        <v/>
      </c>
      <c r="S356" s="9" t="n"/>
    </row>
    <row r="357">
      <c r="F357">
        <f>IF(E357="","",XLOOKUP(E357,'Master Data'!$E$5:$E$15,'Master Data'!$F$5:$F$15,""))</f>
        <v/>
      </c>
      <c r="H357" s="9" t="n"/>
      <c r="I357" s="9">
        <f>IF(OR(G357="",H357=""),"",G357*H357)</f>
        <v/>
      </c>
      <c r="J357" s="9" t="n"/>
      <c r="K357" s="9" t="n"/>
      <c r="L357" s="9">
        <f>IF(I357="","",I357-IF(J357="",0,J357)-IF(K357="",0,K357))</f>
        <v/>
      </c>
      <c r="M357" s="9">
        <f>IF(E357="","",XLOOKUP(E357,'Master Data'!$E$5:$E$15,'Master Data'!$G$5:$G$15,0))</f>
        <v/>
      </c>
      <c r="N357" s="9">
        <f>IF(E357="","",XLOOKUP(E357,'Master Data'!$E$5:$E$15,'Master Data'!$H$5:$H$15,0))</f>
        <v/>
      </c>
      <c r="O357" s="9">
        <f>IF(L357="","",L357-M357-N357)</f>
        <v/>
      </c>
      <c r="S357" s="9" t="n"/>
    </row>
    <row r="358">
      <c r="F358">
        <f>IF(E358="","",XLOOKUP(E358,'Master Data'!$E$5:$E$15,'Master Data'!$F$5:$F$15,""))</f>
        <v/>
      </c>
      <c r="H358" s="9" t="n"/>
      <c r="I358" s="9">
        <f>IF(OR(G358="",H358=""),"",G358*H358)</f>
        <v/>
      </c>
      <c r="J358" s="9" t="n"/>
      <c r="K358" s="9" t="n"/>
      <c r="L358" s="9">
        <f>IF(I358="","",I358-IF(J358="",0,J358)-IF(K358="",0,K358))</f>
        <v/>
      </c>
      <c r="M358" s="9">
        <f>IF(E358="","",XLOOKUP(E358,'Master Data'!$E$5:$E$15,'Master Data'!$G$5:$G$15,0))</f>
        <v/>
      </c>
      <c r="N358" s="9">
        <f>IF(E358="","",XLOOKUP(E358,'Master Data'!$E$5:$E$15,'Master Data'!$H$5:$H$15,0))</f>
        <v/>
      </c>
      <c r="O358" s="9">
        <f>IF(L358="","",L358-M358-N358)</f>
        <v/>
      </c>
      <c r="S358" s="9" t="n"/>
    </row>
    <row r="359">
      <c r="F359">
        <f>IF(E359="","",XLOOKUP(E359,'Master Data'!$E$5:$E$15,'Master Data'!$F$5:$F$15,""))</f>
        <v/>
      </c>
      <c r="H359" s="9" t="n"/>
      <c r="I359" s="9">
        <f>IF(OR(G359="",H359=""),"",G359*H359)</f>
        <v/>
      </c>
      <c r="J359" s="9" t="n"/>
      <c r="K359" s="9" t="n"/>
      <c r="L359" s="9">
        <f>IF(I359="","",I359-IF(J359="",0,J359)-IF(K359="",0,K359))</f>
        <v/>
      </c>
      <c r="M359" s="9">
        <f>IF(E359="","",XLOOKUP(E359,'Master Data'!$E$5:$E$15,'Master Data'!$G$5:$G$15,0))</f>
        <v/>
      </c>
      <c r="N359" s="9">
        <f>IF(E359="","",XLOOKUP(E359,'Master Data'!$E$5:$E$15,'Master Data'!$H$5:$H$15,0))</f>
        <v/>
      </c>
      <c r="O359" s="9">
        <f>IF(L359="","",L359-M359-N359)</f>
        <v/>
      </c>
      <c r="S359" s="9" t="n"/>
    </row>
    <row r="360">
      <c r="F360">
        <f>IF(E360="","",XLOOKUP(E360,'Master Data'!$E$5:$E$15,'Master Data'!$F$5:$F$15,""))</f>
        <v/>
      </c>
      <c r="H360" s="9" t="n"/>
      <c r="I360" s="9">
        <f>IF(OR(G360="",H360=""),"",G360*H360)</f>
        <v/>
      </c>
      <c r="J360" s="9" t="n"/>
      <c r="K360" s="9" t="n"/>
      <c r="L360" s="9">
        <f>IF(I360="","",I360-IF(J360="",0,J360)-IF(K360="",0,K360))</f>
        <v/>
      </c>
      <c r="M360" s="9">
        <f>IF(E360="","",XLOOKUP(E360,'Master Data'!$E$5:$E$15,'Master Data'!$G$5:$G$15,0))</f>
        <v/>
      </c>
      <c r="N360" s="9">
        <f>IF(E360="","",XLOOKUP(E360,'Master Data'!$E$5:$E$15,'Master Data'!$H$5:$H$15,0))</f>
        <v/>
      </c>
      <c r="O360" s="9">
        <f>IF(L360="","",L360-M360-N360)</f>
        <v/>
      </c>
      <c r="S360" s="9" t="n"/>
    </row>
    <row r="361">
      <c r="F361">
        <f>IF(E361="","",XLOOKUP(E361,'Master Data'!$E$5:$E$15,'Master Data'!$F$5:$F$15,""))</f>
        <v/>
      </c>
      <c r="H361" s="9" t="n"/>
      <c r="I361" s="9">
        <f>IF(OR(G361="",H361=""),"",G361*H361)</f>
        <v/>
      </c>
      <c r="J361" s="9" t="n"/>
      <c r="K361" s="9" t="n"/>
      <c r="L361" s="9">
        <f>IF(I361="","",I361-IF(J361="",0,J361)-IF(K361="",0,K361))</f>
        <v/>
      </c>
      <c r="M361" s="9">
        <f>IF(E361="","",XLOOKUP(E361,'Master Data'!$E$5:$E$15,'Master Data'!$G$5:$G$15,0))</f>
        <v/>
      </c>
      <c r="N361" s="9">
        <f>IF(E361="","",XLOOKUP(E361,'Master Data'!$E$5:$E$15,'Master Data'!$H$5:$H$15,0))</f>
        <v/>
      </c>
      <c r="O361" s="9">
        <f>IF(L361="","",L361-M361-N361)</f>
        <v/>
      </c>
      <c r="S361" s="9" t="n"/>
    </row>
    <row r="362">
      <c r="F362">
        <f>IF(E362="","",XLOOKUP(E362,'Master Data'!$E$5:$E$15,'Master Data'!$F$5:$F$15,""))</f>
        <v/>
      </c>
      <c r="H362" s="9" t="n"/>
      <c r="I362" s="9">
        <f>IF(OR(G362="",H362=""),"",G362*H362)</f>
        <v/>
      </c>
      <c r="J362" s="9" t="n"/>
      <c r="K362" s="9" t="n"/>
      <c r="L362" s="9">
        <f>IF(I362="","",I362-IF(J362="",0,J362)-IF(K362="",0,K362))</f>
        <v/>
      </c>
      <c r="M362" s="9">
        <f>IF(E362="","",XLOOKUP(E362,'Master Data'!$E$5:$E$15,'Master Data'!$G$5:$G$15,0))</f>
        <v/>
      </c>
      <c r="N362" s="9">
        <f>IF(E362="","",XLOOKUP(E362,'Master Data'!$E$5:$E$15,'Master Data'!$H$5:$H$15,0))</f>
        <v/>
      </c>
      <c r="O362" s="9">
        <f>IF(L362="","",L362-M362-N362)</f>
        <v/>
      </c>
      <c r="S362" s="9" t="n"/>
    </row>
    <row r="363">
      <c r="F363">
        <f>IF(E363="","",XLOOKUP(E363,'Master Data'!$E$5:$E$15,'Master Data'!$F$5:$F$15,""))</f>
        <v/>
      </c>
      <c r="H363" s="9" t="n"/>
      <c r="I363" s="9">
        <f>IF(OR(G363="",H363=""),"",G363*H363)</f>
        <v/>
      </c>
      <c r="J363" s="9" t="n"/>
      <c r="K363" s="9" t="n"/>
      <c r="L363" s="9">
        <f>IF(I363="","",I363-IF(J363="",0,J363)-IF(K363="",0,K363))</f>
        <v/>
      </c>
      <c r="M363" s="9">
        <f>IF(E363="","",XLOOKUP(E363,'Master Data'!$E$5:$E$15,'Master Data'!$G$5:$G$15,0))</f>
        <v/>
      </c>
      <c r="N363" s="9">
        <f>IF(E363="","",XLOOKUP(E363,'Master Data'!$E$5:$E$15,'Master Data'!$H$5:$H$15,0))</f>
        <v/>
      </c>
      <c r="O363" s="9">
        <f>IF(L363="","",L363-M363-N363)</f>
        <v/>
      </c>
      <c r="S363" s="9" t="n"/>
    </row>
    <row r="364">
      <c r="F364">
        <f>IF(E364="","",XLOOKUP(E364,'Master Data'!$E$5:$E$15,'Master Data'!$F$5:$F$15,""))</f>
        <v/>
      </c>
      <c r="H364" s="9" t="n"/>
      <c r="I364" s="9">
        <f>IF(OR(G364="",H364=""),"",G364*H364)</f>
        <v/>
      </c>
      <c r="J364" s="9" t="n"/>
      <c r="K364" s="9" t="n"/>
      <c r="L364" s="9">
        <f>IF(I364="","",I364-IF(J364="",0,J364)-IF(K364="",0,K364))</f>
        <v/>
      </c>
      <c r="M364" s="9">
        <f>IF(E364="","",XLOOKUP(E364,'Master Data'!$E$5:$E$15,'Master Data'!$G$5:$G$15,0))</f>
        <v/>
      </c>
      <c r="N364" s="9">
        <f>IF(E364="","",XLOOKUP(E364,'Master Data'!$E$5:$E$15,'Master Data'!$H$5:$H$15,0))</f>
        <v/>
      </c>
      <c r="O364" s="9">
        <f>IF(L364="","",L364-M364-N364)</f>
        <v/>
      </c>
      <c r="S364" s="9" t="n"/>
    </row>
    <row r="365">
      <c r="F365">
        <f>IF(E365="","",XLOOKUP(E365,'Master Data'!$E$5:$E$15,'Master Data'!$F$5:$F$15,""))</f>
        <v/>
      </c>
      <c r="H365" s="9" t="n"/>
      <c r="I365" s="9">
        <f>IF(OR(G365="",H365=""),"",G365*H365)</f>
        <v/>
      </c>
      <c r="J365" s="9" t="n"/>
      <c r="K365" s="9" t="n"/>
      <c r="L365" s="9">
        <f>IF(I365="","",I365-IF(J365="",0,J365)-IF(K365="",0,K365))</f>
        <v/>
      </c>
      <c r="M365" s="9">
        <f>IF(E365="","",XLOOKUP(E365,'Master Data'!$E$5:$E$15,'Master Data'!$G$5:$G$15,0))</f>
        <v/>
      </c>
      <c r="N365" s="9">
        <f>IF(E365="","",XLOOKUP(E365,'Master Data'!$E$5:$E$15,'Master Data'!$H$5:$H$15,0))</f>
        <v/>
      </c>
      <c r="O365" s="9">
        <f>IF(L365="","",L365-M365-N365)</f>
        <v/>
      </c>
      <c r="S365" s="9" t="n"/>
    </row>
    <row r="366">
      <c r="F366">
        <f>IF(E366="","",XLOOKUP(E366,'Master Data'!$E$5:$E$15,'Master Data'!$F$5:$F$15,""))</f>
        <v/>
      </c>
      <c r="H366" s="9" t="n"/>
      <c r="I366" s="9">
        <f>IF(OR(G366="",H366=""),"",G366*H366)</f>
        <v/>
      </c>
      <c r="J366" s="9" t="n"/>
      <c r="K366" s="9" t="n"/>
      <c r="L366" s="9">
        <f>IF(I366="","",I366-IF(J366="",0,J366)-IF(K366="",0,K366))</f>
        <v/>
      </c>
      <c r="M366" s="9">
        <f>IF(E366="","",XLOOKUP(E366,'Master Data'!$E$5:$E$15,'Master Data'!$G$5:$G$15,0))</f>
        <v/>
      </c>
      <c r="N366" s="9">
        <f>IF(E366="","",XLOOKUP(E366,'Master Data'!$E$5:$E$15,'Master Data'!$H$5:$H$15,0))</f>
        <v/>
      </c>
      <c r="O366" s="9">
        <f>IF(L366="","",L366-M366-N366)</f>
        <v/>
      </c>
      <c r="S366" s="9" t="n"/>
    </row>
    <row r="367">
      <c r="F367">
        <f>IF(E367="","",XLOOKUP(E367,'Master Data'!$E$5:$E$15,'Master Data'!$F$5:$F$15,""))</f>
        <v/>
      </c>
      <c r="H367" s="9" t="n"/>
      <c r="I367" s="9">
        <f>IF(OR(G367="",H367=""),"",G367*H367)</f>
        <v/>
      </c>
      <c r="J367" s="9" t="n"/>
      <c r="K367" s="9" t="n"/>
      <c r="L367" s="9">
        <f>IF(I367="","",I367-IF(J367="",0,J367)-IF(K367="",0,K367))</f>
        <v/>
      </c>
      <c r="M367" s="9">
        <f>IF(E367="","",XLOOKUP(E367,'Master Data'!$E$5:$E$15,'Master Data'!$G$5:$G$15,0))</f>
        <v/>
      </c>
      <c r="N367" s="9">
        <f>IF(E367="","",XLOOKUP(E367,'Master Data'!$E$5:$E$15,'Master Data'!$H$5:$H$15,0))</f>
        <v/>
      </c>
      <c r="O367" s="9">
        <f>IF(L367="","",L367-M367-N367)</f>
        <v/>
      </c>
      <c r="S367" s="9" t="n"/>
    </row>
    <row r="368">
      <c r="F368">
        <f>IF(E368="","",XLOOKUP(E368,'Master Data'!$E$5:$E$15,'Master Data'!$F$5:$F$15,""))</f>
        <v/>
      </c>
      <c r="H368" s="9" t="n"/>
      <c r="I368" s="9">
        <f>IF(OR(G368="",H368=""),"",G368*H368)</f>
        <v/>
      </c>
      <c r="J368" s="9" t="n"/>
      <c r="K368" s="9" t="n"/>
      <c r="L368" s="9">
        <f>IF(I368="","",I368-IF(J368="",0,J368)-IF(K368="",0,K368))</f>
        <v/>
      </c>
      <c r="M368" s="9">
        <f>IF(E368="","",XLOOKUP(E368,'Master Data'!$E$5:$E$15,'Master Data'!$G$5:$G$15,0))</f>
        <v/>
      </c>
      <c r="N368" s="9">
        <f>IF(E368="","",XLOOKUP(E368,'Master Data'!$E$5:$E$15,'Master Data'!$H$5:$H$15,0))</f>
        <v/>
      </c>
      <c r="O368" s="9">
        <f>IF(L368="","",L368-M368-N368)</f>
        <v/>
      </c>
      <c r="S368" s="9" t="n"/>
    </row>
    <row r="369">
      <c r="F369">
        <f>IF(E369="","",XLOOKUP(E369,'Master Data'!$E$5:$E$15,'Master Data'!$F$5:$F$15,""))</f>
        <v/>
      </c>
      <c r="H369" s="9" t="n"/>
      <c r="I369" s="9">
        <f>IF(OR(G369="",H369=""),"",G369*H369)</f>
        <v/>
      </c>
      <c r="J369" s="9" t="n"/>
      <c r="K369" s="9" t="n"/>
      <c r="L369" s="9">
        <f>IF(I369="","",I369-IF(J369="",0,J369)-IF(K369="",0,K369))</f>
        <v/>
      </c>
      <c r="M369" s="9">
        <f>IF(E369="","",XLOOKUP(E369,'Master Data'!$E$5:$E$15,'Master Data'!$G$5:$G$15,0))</f>
        <v/>
      </c>
      <c r="N369" s="9">
        <f>IF(E369="","",XLOOKUP(E369,'Master Data'!$E$5:$E$15,'Master Data'!$H$5:$H$15,0))</f>
        <v/>
      </c>
      <c r="O369" s="9">
        <f>IF(L369="","",L369-M369-N369)</f>
        <v/>
      </c>
      <c r="S369" s="9" t="n"/>
    </row>
    <row r="370">
      <c r="F370">
        <f>IF(E370="","",XLOOKUP(E370,'Master Data'!$E$5:$E$15,'Master Data'!$F$5:$F$15,""))</f>
        <v/>
      </c>
      <c r="H370" s="9" t="n"/>
      <c r="I370" s="9">
        <f>IF(OR(G370="",H370=""),"",G370*H370)</f>
        <v/>
      </c>
      <c r="J370" s="9" t="n"/>
      <c r="K370" s="9" t="n"/>
      <c r="L370" s="9">
        <f>IF(I370="","",I370-IF(J370="",0,J370)-IF(K370="",0,K370))</f>
        <v/>
      </c>
      <c r="M370" s="9">
        <f>IF(E370="","",XLOOKUP(E370,'Master Data'!$E$5:$E$15,'Master Data'!$G$5:$G$15,0))</f>
        <v/>
      </c>
      <c r="N370" s="9">
        <f>IF(E370="","",XLOOKUP(E370,'Master Data'!$E$5:$E$15,'Master Data'!$H$5:$H$15,0))</f>
        <v/>
      </c>
      <c r="O370" s="9">
        <f>IF(L370="","",L370-M370-N370)</f>
        <v/>
      </c>
      <c r="S370" s="9" t="n"/>
    </row>
    <row r="371">
      <c r="F371">
        <f>IF(E371="","",XLOOKUP(E371,'Master Data'!$E$5:$E$15,'Master Data'!$F$5:$F$15,""))</f>
        <v/>
      </c>
      <c r="H371" s="9" t="n"/>
      <c r="I371" s="9">
        <f>IF(OR(G371="",H371=""),"",G371*H371)</f>
        <v/>
      </c>
      <c r="J371" s="9" t="n"/>
      <c r="K371" s="9" t="n"/>
      <c r="L371" s="9">
        <f>IF(I371="","",I371-IF(J371="",0,J371)-IF(K371="",0,K371))</f>
        <v/>
      </c>
      <c r="M371" s="9">
        <f>IF(E371="","",XLOOKUP(E371,'Master Data'!$E$5:$E$15,'Master Data'!$G$5:$G$15,0))</f>
        <v/>
      </c>
      <c r="N371" s="9">
        <f>IF(E371="","",XLOOKUP(E371,'Master Data'!$E$5:$E$15,'Master Data'!$H$5:$H$15,0))</f>
        <v/>
      </c>
      <c r="O371" s="9">
        <f>IF(L371="","",L371-M371-N371)</f>
        <v/>
      </c>
      <c r="S371" s="9" t="n"/>
    </row>
    <row r="372">
      <c r="F372">
        <f>IF(E372="","",XLOOKUP(E372,'Master Data'!$E$5:$E$15,'Master Data'!$F$5:$F$15,""))</f>
        <v/>
      </c>
      <c r="H372" s="9" t="n"/>
      <c r="I372" s="9">
        <f>IF(OR(G372="",H372=""),"",G372*H372)</f>
        <v/>
      </c>
      <c r="J372" s="9" t="n"/>
      <c r="K372" s="9" t="n"/>
      <c r="L372" s="9">
        <f>IF(I372="","",I372-IF(J372="",0,J372)-IF(K372="",0,K372))</f>
        <v/>
      </c>
      <c r="M372" s="9">
        <f>IF(E372="","",XLOOKUP(E372,'Master Data'!$E$5:$E$15,'Master Data'!$G$5:$G$15,0))</f>
        <v/>
      </c>
      <c r="N372" s="9">
        <f>IF(E372="","",XLOOKUP(E372,'Master Data'!$E$5:$E$15,'Master Data'!$H$5:$H$15,0))</f>
        <v/>
      </c>
      <c r="O372" s="9">
        <f>IF(L372="","",L372-M372-N372)</f>
        <v/>
      </c>
      <c r="S372" s="9" t="n"/>
    </row>
    <row r="373">
      <c r="F373">
        <f>IF(E373="","",XLOOKUP(E373,'Master Data'!$E$5:$E$15,'Master Data'!$F$5:$F$15,""))</f>
        <v/>
      </c>
      <c r="H373" s="9" t="n"/>
      <c r="I373" s="9">
        <f>IF(OR(G373="",H373=""),"",G373*H373)</f>
        <v/>
      </c>
      <c r="J373" s="9" t="n"/>
      <c r="K373" s="9" t="n"/>
      <c r="L373" s="9">
        <f>IF(I373="","",I373-IF(J373="",0,J373)-IF(K373="",0,K373))</f>
        <v/>
      </c>
      <c r="M373" s="9">
        <f>IF(E373="","",XLOOKUP(E373,'Master Data'!$E$5:$E$15,'Master Data'!$G$5:$G$15,0))</f>
        <v/>
      </c>
      <c r="N373" s="9">
        <f>IF(E373="","",XLOOKUP(E373,'Master Data'!$E$5:$E$15,'Master Data'!$H$5:$H$15,0))</f>
        <v/>
      </c>
      <c r="O373" s="9">
        <f>IF(L373="","",L373-M373-N373)</f>
        <v/>
      </c>
      <c r="S373" s="9" t="n"/>
    </row>
    <row r="374">
      <c r="F374">
        <f>IF(E374="","",XLOOKUP(E374,'Master Data'!$E$5:$E$15,'Master Data'!$F$5:$F$15,""))</f>
        <v/>
      </c>
      <c r="H374" s="9" t="n"/>
      <c r="I374" s="9">
        <f>IF(OR(G374="",H374=""),"",G374*H374)</f>
        <v/>
      </c>
      <c r="J374" s="9" t="n"/>
      <c r="K374" s="9" t="n"/>
      <c r="L374" s="9">
        <f>IF(I374="","",I374-IF(J374="",0,J374)-IF(K374="",0,K374))</f>
        <v/>
      </c>
      <c r="M374" s="9">
        <f>IF(E374="","",XLOOKUP(E374,'Master Data'!$E$5:$E$15,'Master Data'!$G$5:$G$15,0))</f>
        <v/>
      </c>
      <c r="N374" s="9">
        <f>IF(E374="","",XLOOKUP(E374,'Master Data'!$E$5:$E$15,'Master Data'!$H$5:$H$15,0))</f>
        <v/>
      </c>
      <c r="O374" s="9">
        <f>IF(L374="","",L374-M374-N374)</f>
        <v/>
      </c>
      <c r="S374" s="9" t="n"/>
    </row>
    <row r="375">
      <c r="F375">
        <f>IF(E375="","",XLOOKUP(E375,'Master Data'!$E$5:$E$15,'Master Data'!$F$5:$F$15,""))</f>
        <v/>
      </c>
      <c r="H375" s="9" t="n"/>
      <c r="I375" s="9">
        <f>IF(OR(G375="",H375=""),"",G375*H375)</f>
        <v/>
      </c>
      <c r="J375" s="9" t="n"/>
      <c r="K375" s="9" t="n"/>
      <c r="L375" s="9">
        <f>IF(I375="","",I375-IF(J375="",0,J375)-IF(K375="",0,K375))</f>
        <v/>
      </c>
      <c r="M375" s="9">
        <f>IF(E375="","",XLOOKUP(E375,'Master Data'!$E$5:$E$15,'Master Data'!$G$5:$G$15,0))</f>
        <v/>
      </c>
      <c r="N375" s="9">
        <f>IF(E375="","",XLOOKUP(E375,'Master Data'!$E$5:$E$15,'Master Data'!$H$5:$H$15,0))</f>
        <v/>
      </c>
      <c r="O375" s="9">
        <f>IF(L375="","",L375-M375-N375)</f>
        <v/>
      </c>
      <c r="S375" s="9" t="n"/>
    </row>
    <row r="376">
      <c r="F376">
        <f>IF(E376="","",XLOOKUP(E376,'Master Data'!$E$5:$E$15,'Master Data'!$F$5:$F$15,""))</f>
        <v/>
      </c>
      <c r="H376" s="9" t="n"/>
      <c r="I376" s="9">
        <f>IF(OR(G376="",H376=""),"",G376*H376)</f>
        <v/>
      </c>
      <c r="J376" s="9" t="n"/>
      <c r="K376" s="9" t="n"/>
      <c r="L376" s="9">
        <f>IF(I376="","",I376-IF(J376="",0,J376)-IF(K376="",0,K376))</f>
        <v/>
      </c>
      <c r="M376" s="9">
        <f>IF(E376="","",XLOOKUP(E376,'Master Data'!$E$5:$E$15,'Master Data'!$G$5:$G$15,0))</f>
        <v/>
      </c>
      <c r="N376" s="9">
        <f>IF(E376="","",XLOOKUP(E376,'Master Data'!$E$5:$E$15,'Master Data'!$H$5:$H$15,0))</f>
        <v/>
      </c>
      <c r="O376" s="9">
        <f>IF(L376="","",L376-M376-N376)</f>
        <v/>
      </c>
      <c r="S376" s="9" t="n"/>
    </row>
    <row r="377">
      <c r="F377">
        <f>IF(E377="","",XLOOKUP(E377,'Master Data'!$E$5:$E$15,'Master Data'!$F$5:$F$15,""))</f>
        <v/>
      </c>
      <c r="H377" s="9" t="n"/>
      <c r="I377" s="9">
        <f>IF(OR(G377="",H377=""),"",G377*H377)</f>
        <v/>
      </c>
      <c r="J377" s="9" t="n"/>
      <c r="K377" s="9" t="n"/>
      <c r="L377" s="9">
        <f>IF(I377="","",I377-IF(J377="",0,J377)-IF(K377="",0,K377))</f>
        <v/>
      </c>
      <c r="M377" s="9">
        <f>IF(E377="","",XLOOKUP(E377,'Master Data'!$E$5:$E$15,'Master Data'!$G$5:$G$15,0))</f>
        <v/>
      </c>
      <c r="N377" s="9">
        <f>IF(E377="","",XLOOKUP(E377,'Master Data'!$E$5:$E$15,'Master Data'!$H$5:$H$15,0))</f>
        <v/>
      </c>
      <c r="O377" s="9">
        <f>IF(L377="","",L377-M377-N377)</f>
        <v/>
      </c>
      <c r="S377" s="9" t="n"/>
    </row>
    <row r="378">
      <c r="F378">
        <f>IF(E378="","",XLOOKUP(E378,'Master Data'!$E$5:$E$15,'Master Data'!$F$5:$F$15,""))</f>
        <v/>
      </c>
      <c r="H378" s="9" t="n"/>
      <c r="I378" s="9">
        <f>IF(OR(G378="",H378=""),"",G378*H378)</f>
        <v/>
      </c>
      <c r="J378" s="9" t="n"/>
      <c r="K378" s="9" t="n"/>
      <c r="L378" s="9">
        <f>IF(I378="","",I378-IF(J378="",0,J378)-IF(K378="",0,K378))</f>
        <v/>
      </c>
      <c r="M378" s="9">
        <f>IF(E378="","",XLOOKUP(E378,'Master Data'!$E$5:$E$15,'Master Data'!$G$5:$G$15,0))</f>
        <v/>
      </c>
      <c r="N378" s="9">
        <f>IF(E378="","",XLOOKUP(E378,'Master Data'!$E$5:$E$15,'Master Data'!$H$5:$H$15,0))</f>
        <v/>
      </c>
      <c r="O378" s="9">
        <f>IF(L378="","",L378-M378-N378)</f>
        <v/>
      </c>
      <c r="S378" s="9" t="n"/>
    </row>
    <row r="379">
      <c r="F379">
        <f>IF(E379="","",XLOOKUP(E379,'Master Data'!$E$5:$E$15,'Master Data'!$F$5:$F$15,""))</f>
        <v/>
      </c>
      <c r="H379" s="9" t="n"/>
      <c r="I379" s="9">
        <f>IF(OR(G379="",H379=""),"",G379*H379)</f>
        <v/>
      </c>
      <c r="J379" s="9" t="n"/>
      <c r="K379" s="9" t="n"/>
      <c r="L379" s="9">
        <f>IF(I379="","",I379-IF(J379="",0,J379)-IF(K379="",0,K379))</f>
        <v/>
      </c>
      <c r="M379" s="9">
        <f>IF(E379="","",XLOOKUP(E379,'Master Data'!$E$5:$E$15,'Master Data'!$G$5:$G$15,0))</f>
        <v/>
      </c>
      <c r="N379" s="9">
        <f>IF(E379="","",XLOOKUP(E379,'Master Data'!$E$5:$E$15,'Master Data'!$H$5:$H$15,0))</f>
        <v/>
      </c>
      <c r="O379" s="9">
        <f>IF(L379="","",L379-M379-N379)</f>
        <v/>
      </c>
      <c r="S379" s="9" t="n"/>
    </row>
    <row r="380">
      <c r="F380">
        <f>IF(E380="","",XLOOKUP(E380,'Master Data'!$E$5:$E$15,'Master Data'!$F$5:$F$15,""))</f>
        <v/>
      </c>
      <c r="H380" s="9" t="n"/>
      <c r="I380" s="9">
        <f>IF(OR(G380="",H380=""),"",G380*H380)</f>
        <v/>
      </c>
      <c r="J380" s="9" t="n"/>
      <c r="K380" s="9" t="n"/>
      <c r="L380" s="9">
        <f>IF(I380="","",I380-IF(J380="",0,J380)-IF(K380="",0,K380))</f>
        <v/>
      </c>
      <c r="M380" s="9">
        <f>IF(E380="","",XLOOKUP(E380,'Master Data'!$E$5:$E$15,'Master Data'!$G$5:$G$15,0))</f>
        <v/>
      </c>
      <c r="N380" s="9">
        <f>IF(E380="","",XLOOKUP(E380,'Master Data'!$E$5:$E$15,'Master Data'!$H$5:$H$15,0))</f>
        <v/>
      </c>
      <c r="O380" s="9">
        <f>IF(L380="","",L380-M380-N380)</f>
        <v/>
      </c>
      <c r="S380" s="9" t="n"/>
    </row>
    <row r="381">
      <c r="F381">
        <f>IF(E381="","",XLOOKUP(E381,'Master Data'!$E$5:$E$15,'Master Data'!$F$5:$F$15,""))</f>
        <v/>
      </c>
      <c r="H381" s="9" t="n"/>
      <c r="I381" s="9">
        <f>IF(OR(G381="",H381=""),"",G381*H381)</f>
        <v/>
      </c>
      <c r="J381" s="9" t="n"/>
      <c r="K381" s="9" t="n"/>
      <c r="L381" s="9">
        <f>IF(I381="","",I381-IF(J381="",0,J381)-IF(K381="",0,K381))</f>
        <v/>
      </c>
      <c r="M381" s="9">
        <f>IF(E381="","",XLOOKUP(E381,'Master Data'!$E$5:$E$15,'Master Data'!$G$5:$G$15,0))</f>
        <v/>
      </c>
      <c r="N381" s="9">
        <f>IF(E381="","",XLOOKUP(E381,'Master Data'!$E$5:$E$15,'Master Data'!$H$5:$H$15,0))</f>
        <v/>
      </c>
      <c r="O381" s="9">
        <f>IF(L381="","",L381-M381-N381)</f>
        <v/>
      </c>
      <c r="S381" s="9" t="n"/>
    </row>
    <row r="382">
      <c r="F382">
        <f>IF(E382="","",XLOOKUP(E382,'Master Data'!$E$5:$E$15,'Master Data'!$F$5:$F$15,""))</f>
        <v/>
      </c>
      <c r="H382" s="9" t="n"/>
      <c r="I382" s="9">
        <f>IF(OR(G382="",H382=""),"",G382*H382)</f>
        <v/>
      </c>
      <c r="J382" s="9" t="n"/>
      <c r="K382" s="9" t="n"/>
      <c r="L382" s="9">
        <f>IF(I382="","",I382-IF(J382="",0,J382)-IF(K382="",0,K382))</f>
        <v/>
      </c>
      <c r="M382" s="9">
        <f>IF(E382="","",XLOOKUP(E382,'Master Data'!$E$5:$E$15,'Master Data'!$G$5:$G$15,0))</f>
        <v/>
      </c>
      <c r="N382" s="9">
        <f>IF(E382="","",XLOOKUP(E382,'Master Data'!$E$5:$E$15,'Master Data'!$H$5:$H$15,0))</f>
        <v/>
      </c>
      <c r="O382" s="9">
        <f>IF(L382="","",L382-M382-N382)</f>
        <v/>
      </c>
      <c r="S382" s="9" t="n"/>
    </row>
    <row r="383">
      <c r="F383">
        <f>IF(E383="","",XLOOKUP(E383,'Master Data'!$E$5:$E$15,'Master Data'!$F$5:$F$15,""))</f>
        <v/>
      </c>
      <c r="H383" s="9" t="n"/>
      <c r="I383" s="9">
        <f>IF(OR(G383="",H383=""),"",G383*H383)</f>
        <v/>
      </c>
      <c r="J383" s="9" t="n"/>
      <c r="K383" s="9" t="n"/>
      <c r="L383" s="9">
        <f>IF(I383="","",I383-IF(J383="",0,J383)-IF(K383="",0,K383))</f>
        <v/>
      </c>
      <c r="M383" s="9">
        <f>IF(E383="","",XLOOKUP(E383,'Master Data'!$E$5:$E$15,'Master Data'!$G$5:$G$15,0))</f>
        <v/>
      </c>
      <c r="N383" s="9">
        <f>IF(E383="","",XLOOKUP(E383,'Master Data'!$E$5:$E$15,'Master Data'!$H$5:$H$15,0))</f>
        <v/>
      </c>
      <c r="O383" s="9">
        <f>IF(L383="","",L383-M383-N383)</f>
        <v/>
      </c>
      <c r="S383" s="9" t="n"/>
    </row>
    <row r="384">
      <c r="F384">
        <f>IF(E384="","",XLOOKUP(E384,'Master Data'!$E$5:$E$15,'Master Data'!$F$5:$F$15,""))</f>
        <v/>
      </c>
      <c r="H384" s="9" t="n"/>
      <c r="I384" s="9">
        <f>IF(OR(G384="",H384=""),"",G384*H384)</f>
        <v/>
      </c>
      <c r="J384" s="9" t="n"/>
      <c r="K384" s="9" t="n"/>
      <c r="L384" s="9">
        <f>IF(I384="","",I384-IF(J384="",0,J384)-IF(K384="",0,K384))</f>
        <v/>
      </c>
      <c r="M384" s="9">
        <f>IF(E384="","",XLOOKUP(E384,'Master Data'!$E$5:$E$15,'Master Data'!$G$5:$G$15,0))</f>
        <v/>
      </c>
      <c r="N384" s="9">
        <f>IF(E384="","",XLOOKUP(E384,'Master Data'!$E$5:$E$15,'Master Data'!$H$5:$H$15,0))</f>
        <v/>
      </c>
      <c r="O384" s="9">
        <f>IF(L384="","",L384-M384-N384)</f>
        <v/>
      </c>
      <c r="S384" s="9" t="n"/>
    </row>
    <row r="385">
      <c r="F385">
        <f>IF(E385="","",XLOOKUP(E385,'Master Data'!$E$5:$E$15,'Master Data'!$F$5:$F$15,""))</f>
        <v/>
      </c>
      <c r="H385" s="9" t="n"/>
      <c r="I385" s="9">
        <f>IF(OR(G385="",H385=""),"",G385*H385)</f>
        <v/>
      </c>
      <c r="J385" s="9" t="n"/>
      <c r="K385" s="9" t="n"/>
      <c r="L385" s="9">
        <f>IF(I385="","",I385-IF(J385="",0,J385)-IF(K385="",0,K385))</f>
        <v/>
      </c>
      <c r="M385" s="9">
        <f>IF(E385="","",XLOOKUP(E385,'Master Data'!$E$5:$E$15,'Master Data'!$G$5:$G$15,0))</f>
        <v/>
      </c>
      <c r="N385" s="9">
        <f>IF(E385="","",XLOOKUP(E385,'Master Data'!$E$5:$E$15,'Master Data'!$H$5:$H$15,0))</f>
        <v/>
      </c>
      <c r="O385" s="9">
        <f>IF(L385="","",L385-M385-N385)</f>
        <v/>
      </c>
      <c r="S385" s="9" t="n"/>
    </row>
    <row r="386">
      <c r="F386">
        <f>IF(E386="","",XLOOKUP(E386,'Master Data'!$E$5:$E$15,'Master Data'!$F$5:$F$15,""))</f>
        <v/>
      </c>
      <c r="H386" s="9" t="n"/>
      <c r="I386" s="9">
        <f>IF(OR(G386="",H386=""),"",G386*H386)</f>
        <v/>
      </c>
      <c r="J386" s="9" t="n"/>
      <c r="K386" s="9" t="n"/>
      <c r="L386" s="9">
        <f>IF(I386="","",I386-IF(J386="",0,J386)-IF(K386="",0,K386))</f>
        <v/>
      </c>
      <c r="M386" s="9">
        <f>IF(E386="","",XLOOKUP(E386,'Master Data'!$E$5:$E$15,'Master Data'!$G$5:$G$15,0))</f>
        <v/>
      </c>
      <c r="N386" s="9">
        <f>IF(E386="","",XLOOKUP(E386,'Master Data'!$E$5:$E$15,'Master Data'!$H$5:$H$15,0))</f>
        <v/>
      </c>
      <c r="O386" s="9">
        <f>IF(L386="","",L386-M386-N386)</f>
        <v/>
      </c>
      <c r="S386" s="9" t="n"/>
    </row>
    <row r="387">
      <c r="F387">
        <f>IF(E387="","",XLOOKUP(E387,'Master Data'!$E$5:$E$15,'Master Data'!$F$5:$F$15,""))</f>
        <v/>
      </c>
      <c r="H387" s="9" t="n"/>
      <c r="I387" s="9">
        <f>IF(OR(G387="",H387=""),"",G387*H387)</f>
        <v/>
      </c>
      <c r="J387" s="9" t="n"/>
      <c r="K387" s="9" t="n"/>
      <c r="L387" s="9">
        <f>IF(I387="","",I387-IF(J387="",0,J387)-IF(K387="",0,K387))</f>
        <v/>
      </c>
      <c r="M387" s="9">
        <f>IF(E387="","",XLOOKUP(E387,'Master Data'!$E$5:$E$15,'Master Data'!$G$5:$G$15,0))</f>
        <v/>
      </c>
      <c r="N387" s="9">
        <f>IF(E387="","",XLOOKUP(E387,'Master Data'!$E$5:$E$15,'Master Data'!$H$5:$H$15,0))</f>
        <v/>
      </c>
      <c r="O387" s="9">
        <f>IF(L387="","",L387-M387-N387)</f>
        <v/>
      </c>
      <c r="S387" s="9" t="n"/>
    </row>
    <row r="388">
      <c r="F388">
        <f>IF(E388="","",XLOOKUP(E388,'Master Data'!$E$5:$E$15,'Master Data'!$F$5:$F$15,""))</f>
        <v/>
      </c>
      <c r="H388" s="9" t="n"/>
      <c r="I388" s="9">
        <f>IF(OR(G388="",H388=""),"",G388*H388)</f>
        <v/>
      </c>
      <c r="J388" s="9" t="n"/>
      <c r="K388" s="9" t="n"/>
      <c r="L388" s="9">
        <f>IF(I388="","",I388-IF(J388="",0,J388)-IF(K388="",0,K388))</f>
        <v/>
      </c>
      <c r="M388" s="9">
        <f>IF(E388="","",XLOOKUP(E388,'Master Data'!$E$5:$E$15,'Master Data'!$G$5:$G$15,0))</f>
        <v/>
      </c>
      <c r="N388" s="9">
        <f>IF(E388="","",XLOOKUP(E388,'Master Data'!$E$5:$E$15,'Master Data'!$H$5:$H$15,0))</f>
        <v/>
      </c>
      <c r="O388" s="9">
        <f>IF(L388="","",L388-M388-N388)</f>
        <v/>
      </c>
      <c r="S388" s="9" t="n"/>
    </row>
    <row r="389">
      <c r="F389">
        <f>IF(E389="","",XLOOKUP(E389,'Master Data'!$E$5:$E$15,'Master Data'!$F$5:$F$15,""))</f>
        <v/>
      </c>
      <c r="H389" s="9" t="n"/>
      <c r="I389" s="9">
        <f>IF(OR(G389="",H389=""),"",G389*H389)</f>
        <v/>
      </c>
      <c r="J389" s="9" t="n"/>
      <c r="K389" s="9" t="n"/>
      <c r="L389" s="9">
        <f>IF(I389="","",I389-IF(J389="",0,J389)-IF(K389="",0,K389))</f>
        <v/>
      </c>
      <c r="M389" s="9">
        <f>IF(E389="","",XLOOKUP(E389,'Master Data'!$E$5:$E$15,'Master Data'!$G$5:$G$15,0))</f>
        <v/>
      </c>
      <c r="N389" s="9">
        <f>IF(E389="","",XLOOKUP(E389,'Master Data'!$E$5:$E$15,'Master Data'!$H$5:$H$15,0))</f>
        <v/>
      </c>
      <c r="O389" s="9">
        <f>IF(L389="","",L389-M389-N389)</f>
        <v/>
      </c>
      <c r="S389" s="9" t="n"/>
    </row>
    <row r="390">
      <c r="F390">
        <f>IF(E390="","",XLOOKUP(E390,'Master Data'!$E$5:$E$15,'Master Data'!$F$5:$F$15,""))</f>
        <v/>
      </c>
      <c r="H390" s="9" t="n"/>
      <c r="I390" s="9">
        <f>IF(OR(G390="",H390=""),"",G390*H390)</f>
        <v/>
      </c>
      <c r="J390" s="9" t="n"/>
      <c r="K390" s="9" t="n"/>
      <c r="L390" s="9">
        <f>IF(I390="","",I390-IF(J390="",0,J390)-IF(K390="",0,K390))</f>
        <v/>
      </c>
      <c r="M390" s="9">
        <f>IF(E390="","",XLOOKUP(E390,'Master Data'!$E$5:$E$15,'Master Data'!$G$5:$G$15,0))</f>
        <v/>
      </c>
      <c r="N390" s="9">
        <f>IF(E390="","",XLOOKUP(E390,'Master Data'!$E$5:$E$15,'Master Data'!$H$5:$H$15,0))</f>
        <v/>
      </c>
      <c r="O390" s="9">
        <f>IF(L390="","",L390-M390-N390)</f>
        <v/>
      </c>
      <c r="S390" s="9" t="n"/>
    </row>
    <row r="391">
      <c r="F391">
        <f>IF(E391="","",XLOOKUP(E391,'Master Data'!$E$5:$E$15,'Master Data'!$F$5:$F$15,""))</f>
        <v/>
      </c>
      <c r="H391" s="9" t="n"/>
      <c r="I391" s="9">
        <f>IF(OR(G391="",H391=""),"",G391*H391)</f>
        <v/>
      </c>
      <c r="J391" s="9" t="n"/>
      <c r="K391" s="9" t="n"/>
      <c r="L391" s="9">
        <f>IF(I391="","",I391-IF(J391="",0,J391)-IF(K391="",0,K391))</f>
        <v/>
      </c>
      <c r="M391" s="9">
        <f>IF(E391="","",XLOOKUP(E391,'Master Data'!$E$5:$E$15,'Master Data'!$G$5:$G$15,0))</f>
        <v/>
      </c>
      <c r="N391" s="9">
        <f>IF(E391="","",XLOOKUP(E391,'Master Data'!$E$5:$E$15,'Master Data'!$H$5:$H$15,0))</f>
        <v/>
      </c>
      <c r="O391" s="9">
        <f>IF(L391="","",L391-M391-N391)</f>
        <v/>
      </c>
      <c r="S391" s="9" t="n"/>
    </row>
    <row r="392">
      <c r="F392">
        <f>IF(E392="","",XLOOKUP(E392,'Master Data'!$E$5:$E$15,'Master Data'!$F$5:$F$15,""))</f>
        <v/>
      </c>
      <c r="H392" s="9" t="n"/>
      <c r="I392" s="9">
        <f>IF(OR(G392="",H392=""),"",G392*H392)</f>
        <v/>
      </c>
      <c r="J392" s="9" t="n"/>
      <c r="K392" s="9" t="n"/>
      <c r="L392" s="9">
        <f>IF(I392="","",I392-IF(J392="",0,J392)-IF(K392="",0,K392))</f>
        <v/>
      </c>
      <c r="M392" s="9">
        <f>IF(E392="","",XLOOKUP(E392,'Master Data'!$E$5:$E$15,'Master Data'!$G$5:$G$15,0))</f>
        <v/>
      </c>
      <c r="N392" s="9">
        <f>IF(E392="","",XLOOKUP(E392,'Master Data'!$E$5:$E$15,'Master Data'!$H$5:$H$15,0))</f>
        <v/>
      </c>
      <c r="O392" s="9">
        <f>IF(L392="","",L392-M392-N392)</f>
        <v/>
      </c>
      <c r="S392" s="9" t="n"/>
    </row>
    <row r="393">
      <c r="F393">
        <f>IF(E393="","",XLOOKUP(E393,'Master Data'!$E$5:$E$15,'Master Data'!$F$5:$F$15,""))</f>
        <v/>
      </c>
      <c r="H393" s="9" t="n"/>
      <c r="I393" s="9">
        <f>IF(OR(G393="",H393=""),"",G393*H393)</f>
        <v/>
      </c>
      <c r="J393" s="9" t="n"/>
      <c r="K393" s="9" t="n"/>
      <c r="L393" s="9">
        <f>IF(I393="","",I393-IF(J393="",0,J393)-IF(K393="",0,K393))</f>
        <v/>
      </c>
      <c r="M393" s="9">
        <f>IF(E393="","",XLOOKUP(E393,'Master Data'!$E$5:$E$15,'Master Data'!$G$5:$G$15,0))</f>
        <v/>
      </c>
      <c r="N393" s="9">
        <f>IF(E393="","",XLOOKUP(E393,'Master Data'!$E$5:$E$15,'Master Data'!$H$5:$H$15,0))</f>
        <v/>
      </c>
      <c r="O393" s="9">
        <f>IF(L393="","",L393-M393-N393)</f>
        <v/>
      </c>
      <c r="S393" s="9" t="n"/>
    </row>
    <row r="394">
      <c r="F394">
        <f>IF(E394="","",XLOOKUP(E394,'Master Data'!$E$5:$E$15,'Master Data'!$F$5:$F$15,""))</f>
        <v/>
      </c>
      <c r="H394" s="9" t="n"/>
      <c r="I394" s="9">
        <f>IF(OR(G394="",H394=""),"",G394*H394)</f>
        <v/>
      </c>
      <c r="J394" s="9" t="n"/>
      <c r="K394" s="9" t="n"/>
      <c r="L394" s="9">
        <f>IF(I394="","",I394-IF(J394="",0,J394)-IF(K394="",0,K394))</f>
        <v/>
      </c>
      <c r="M394" s="9">
        <f>IF(E394="","",XLOOKUP(E394,'Master Data'!$E$5:$E$15,'Master Data'!$G$5:$G$15,0))</f>
        <v/>
      </c>
      <c r="N394" s="9">
        <f>IF(E394="","",XLOOKUP(E394,'Master Data'!$E$5:$E$15,'Master Data'!$H$5:$H$15,0))</f>
        <v/>
      </c>
      <c r="O394" s="9">
        <f>IF(L394="","",L394-M394-N394)</f>
        <v/>
      </c>
      <c r="S394" s="9" t="n"/>
    </row>
    <row r="395">
      <c r="F395">
        <f>IF(E395="","",XLOOKUP(E395,'Master Data'!$E$5:$E$15,'Master Data'!$F$5:$F$15,""))</f>
        <v/>
      </c>
      <c r="H395" s="9" t="n"/>
      <c r="I395" s="9">
        <f>IF(OR(G395="",H395=""),"",G395*H395)</f>
        <v/>
      </c>
      <c r="J395" s="9" t="n"/>
      <c r="K395" s="9" t="n"/>
      <c r="L395" s="9">
        <f>IF(I395="","",I395-IF(J395="",0,J395)-IF(K395="",0,K395))</f>
        <v/>
      </c>
      <c r="M395" s="9">
        <f>IF(E395="","",XLOOKUP(E395,'Master Data'!$E$5:$E$15,'Master Data'!$G$5:$G$15,0))</f>
        <v/>
      </c>
      <c r="N395" s="9">
        <f>IF(E395="","",XLOOKUP(E395,'Master Data'!$E$5:$E$15,'Master Data'!$H$5:$H$15,0))</f>
        <v/>
      </c>
      <c r="O395" s="9">
        <f>IF(L395="","",L395-M395-N395)</f>
        <v/>
      </c>
      <c r="S395" s="9" t="n"/>
    </row>
    <row r="396">
      <c r="F396">
        <f>IF(E396="","",XLOOKUP(E396,'Master Data'!$E$5:$E$15,'Master Data'!$F$5:$F$15,""))</f>
        <v/>
      </c>
      <c r="H396" s="9" t="n"/>
      <c r="I396" s="9">
        <f>IF(OR(G396="",H396=""),"",G396*H396)</f>
        <v/>
      </c>
      <c r="J396" s="9" t="n"/>
      <c r="K396" s="9" t="n"/>
      <c r="L396" s="9">
        <f>IF(I396="","",I396-IF(J396="",0,J396)-IF(K396="",0,K396))</f>
        <v/>
      </c>
      <c r="M396" s="9">
        <f>IF(E396="","",XLOOKUP(E396,'Master Data'!$E$5:$E$15,'Master Data'!$G$5:$G$15,0))</f>
        <v/>
      </c>
      <c r="N396" s="9">
        <f>IF(E396="","",XLOOKUP(E396,'Master Data'!$E$5:$E$15,'Master Data'!$H$5:$H$15,0))</f>
        <v/>
      </c>
      <c r="O396" s="9">
        <f>IF(L396="","",L396-M396-N396)</f>
        <v/>
      </c>
      <c r="S396" s="9" t="n"/>
    </row>
    <row r="397">
      <c r="F397">
        <f>IF(E397="","",XLOOKUP(E397,'Master Data'!$E$5:$E$15,'Master Data'!$F$5:$F$15,""))</f>
        <v/>
      </c>
      <c r="H397" s="9" t="n"/>
      <c r="I397" s="9">
        <f>IF(OR(G397="",H397=""),"",G397*H397)</f>
        <v/>
      </c>
      <c r="J397" s="9" t="n"/>
      <c r="K397" s="9" t="n"/>
      <c r="L397" s="9">
        <f>IF(I397="","",I397-IF(J397="",0,J397)-IF(K397="",0,K397))</f>
        <v/>
      </c>
      <c r="M397" s="9">
        <f>IF(E397="","",XLOOKUP(E397,'Master Data'!$E$5:$E$15,'Master Data'!$G$5:$G$15,0))</f>
        <v/>
      </c>
      <c r="N397" s="9">
        <f>IF(E397="","",XLOOKUP(E397,'Master Data'!$E$5:$E$15,'Master Data'!$H$5:$H$15,0))</f>
        <v/>
      </c>
      <c r="O397" s="9">
        <f>IF(L397="","",L397-M397-N397)</f>
        <v/>
      </c>
      <c r="S397" s="9" t="n"/>
    </row>
    <row r="398">
      <c r="F398">
        <f>IF(E398="","",XLOOKUP(E398,'Master Data'!$E$5:$E$15,'Master Data'!$F$5:$F$15,""))</f>
        <v/>
      </c>
      <c r="H398" s="9" t="n"/>
      <c r="I398" s="9">
        <f>IF(OR(G398="",H398=""),"",G398*H398)</f>
        <v/>
      </c>
      <c r="J398" s="9" t="n"/>
      <c r="K398" s="9" t="n"/>
      <c r="L398" s="9">
        <f>IF(I398="","",I398-IF(J398="",0,J398)-IF(K398="",0,K398))</f>
        <v/>
      </c>
      <c r="M398" s="9">
        <f>IF(E398="","",XLOOKUP(E398,'Master Data'!$E$5:$E$15,'Master Data'!$G$5:$G$15,0))</f>
        <v/>
      </c>
      <c r="N398" s="9">
        <f>IF(E398="","",XLOOKUP(E398,'Master Data'!$E$5:$E$15,'Master Data'!$H$5:$H$15,0))</f>
        <v/>
      </c>
      <c r="O398" s="9">
        <f>IF(L398="","",L398-M398-N398)</f>
        <v/>
      </c>
      <c r="S398" s="9" t="n"/>
    </row>
    <row r="399">
      <c r="F399">
        <f>IF(E399="","",XLOOKUP(E399,'Master Data'!$E$5:$E$15,'Master Data'!$F$5:$F$15,""))</f>
        <v/>
      </c>
      <c r="H399" s="9" t="n"/>
      <c r="I399" s="9">
        <f>IF(OR(G399="",H399=""),"",G399*H399)</f>
        <v/>
      </c>
      <c r="J399" s="9" t="n"/>
      <c r="K399" s="9" t="n"/>
      <c r="L399" s="9">
        <f>IF(I399="","",I399-IF(J399="",0,J399)-IF(K399="",0,K399))</f>
        <v/>
      </c>
      <c r="M399" s="9">
        <f>IF(E399="","",XLOOKUP(E399,'Master Data'!$E$5:$E$15,'Master Data'!$G$5:$G$15,0))</f>
        <v/>
      </c>
      <c r="N399" s="9">
        <f>IF(E399="","",XLOOKUP(E399,'Master Data'!$E$5:$E$15,'Master Data'!$H$5:$H$15,0))</f>
        <v/>
      </c>
      <c r="O399" s="9">
        <f>IF(L399="","",L399-M399-N399)</f>
        <v/>
      </c>
      <c r="S399" s="9" t="n"/>
    </row>
    <row r="400">
      <c r="F400">
        <f>IF(E400="","",XLOOKUP(E400,'Master Data'!$E$5:$E$15,'Master Data'!$F$5:$F$15,""))</f>
        <v/>
      </c>
      <c r="H400" s="9" t="n"/>
      <c r="I400" s="9">
        <f>IF(OR(G400="",H400=""),"",G400*H400)</f>
        <v/>
      </c>
      <c r="J400" s="9" t="n"/>
      <c r="K400" s="9" t="n"/>
      <c r="L400" s="9">
        <f>IF(I400="","",I400-IF(J400="",0,J400)-IF(K400="",0,K400))</f>
        <v/>
      </c>
      <c r="M400" s="9">
        <f>IF(E400="","",XLOOKUP(E400,'Master Data'!$E$5:$E$15,'Master Data'!$G$5:$G$15,0))</f>
        <v/>
      </c>
      <c r="N400" s="9">
        <f>IF(E400="","",XLOOKUP(E400,'Master Data'!$E$5:$E$15,'Master Data'!$H$5:$H$15,0))</f>
        <v/>
      </c>
      <c r="O400" s="9">
        <f>IF(L400="","",L400-M400-N400)</f>
        <v/>
      </c>
      <c r="S400" s="9" t="n"/>
    </row>
    <row r="401">
      <c r="F401">
        <f>IF(E401="","",XLOOKUP(E401,'Master Data'!$E$5:$E$15,'Master Data'!$F$5:$F$15,""))</f>
        <v/>
      </c>
      <c r="H401" s="9" t="n"/>
      <c r="I401" s="9">
        <f>IF(OR(G401="",H401=""),"",G401*H401)</f>
        <v/>
      </c>
      <c r="J401" s="9" t="n"/>
      <c r="K401" s="9" t="n"/>
      <c r="L401" s="9">
        <f>IF(I401="","",I401-IF(J401="",0,J401)-IF(K401="",0,K401))</f>
        <v/>
      </c>
      <c r="M401" s="9">
        <f>IF(E401="","",XLOOKUP(E401,'Master Data'!$E$5:$E$15,'Master Data'!$G$5:$G$15,0))</f>
        <v/>
      </c>
      <c r="N401" s="9">
        <f>IF(E401="","",XLOOKUP(E401,'Master Data'!$E$5:$E$15,'Master Data'!$H$5:$H$15,0))</f>
        <v/>
      </c>
      <c r="O401" s="9">
        <f>IF(L401="","",L401-M401-N401)</f>
        <v/>
      </c>
      <c r="S401" s="9" t="n"/>
    </row>
    <row r="402">
      <c r="F402">
        <f>IF(E402="","",XLOOKUP(E402,'Master Data'!$E$5:$E$15,'Master Data'!$F$5:$F$15,""))</f>
        <v/>
      </c>
      <c r="H402" s="9" t="n"/>
      <c r="I402" s="9">
        <f>IF(OR(G402="",H402=""),"",G402*H402)</f>
        <v/>
      </c>
      <c r="J402" s="9" t="n"/>
      <c r="K402" s="9" t="n"/>
      <c r="L402" s="9">
        <f>IF(I402="","",I402-IF(J402="",0,J402)-IF(K402="",0,K402))</f>
        <v/>
      </c>
      <c r="M402" s="9">
        <f>IF(E402="","",XLOOKUP(E402,'Master Data'!$E$5:$E$15,'Master Data'!$G$5:$G$15,0))</f>
        <v/>
      </c>
      <c r="N402" s="9">
        <f>IF(E402="","",XLOOKUP(E402,'Master Data'!$E$5:$E$15,'Master Data'!$H$5:$H$15,0))</f>
        <v/>
      </c>
      <c r="O402" s="9">
        <f>IF(L402="","",L402-M402-N402)</f>
        <v/>
      </c>
      <c r="S402" s="9" t="n"/>
    </row>
    <row r="403">
      <c r="F403">
        <f>IF(E403="","",XLOOKUP(E403,'Master Data'!$E$5:$E$15,'Master Data'!$F$5:$F$15,""))</f>
        <v/>
      </c>
      <c r="H403" s="9" t="n"/>
      <c r="I403" s="9">
        <f>IF(OR(G403="",H403=""),"",G403*H403)</f>
        <v/>
      </c>
      <c r="J403" s="9" t="n"/>
      <c r="K403" s="9" t="n"/>
      <c r="L403" s="9">
        <f>IF(I403="","",I403-IF(J403="",0,J403)-IF(K403="",0,K403))</f>
        <v/>
      </c>
      <c r="M403" s="9">
        <f>IF(E403="","",XLOOKUP(E403,'Master Data'!$E$5:$E$15,'Master Data'!$G$5:$G$15,0))</f>
        <v/>
      </c>
      <c r="N403" s="9">
        <f>IF(E403="","",XLOOKUP(E403,'Master Data'!$E$5:$E$15,'Master Data'!$H$5:$H$15,0))</f>
        <v/>
      </c>
      <c r="O403" s="9">
        <f>IF(L403="","",L403-M403-N403)</f>
        <v/>
      </c>
      <c r="S403" s="9" t="n"/>
    </row>
    <row r="404">
      <c r="F404">
        <f>IF(E404="","",XLOOKUP(E404,'Master Data'!$E$5:$E$15,'Master Data'!$F$5:$F$15,""))</f>
        <v/>
      </c>
      <c r="H404" s="9" t="n"/>
      <c r="I404" s="9">
        <f>IF(OR(G404="",H404=""),"",G404*H404)</f>
        <v/>
      </c>
      <c r="J404" s="9" t="n"/>
      <c r="K404" s="9" t="n"/>
      <c r="L404" s="9">
        <f>IF(I404="","",I404-IF(J404="",0,J404)-IF(K404="",0,K404))</f>
        <v/>
      </c>
      <c r="M404" s="9">
        <f>IF(E404="","",XLOOKUP(E404,'Master Data'!$E$5:$E$15,'Master Data'!$G$5:$G$15,0))</f>
        <v/>
      </c>
      <c r="N404" s="9">
        <f>IF(E404="","",XLOOKUP(E404,'Master Data'!$E$5:$E$15,'Master Data'!$H$5:$H$15,0))</f>
        <v/>
      </c>
      <c r="O404" s="9">
        <f>IF(L404="","",L404-M404-N404)</f>
        <v/>
      </c>
      <c r="S404" s="9" t="n"/>
    </row>
    <row r="405">
      <c r="F405">
        <f>IF(E405="","",XLOOKUP(E405,'Master Data'!$E$5:$E$15,'Master Data'!$F$5:$F$15,""))</f>
        <v/>
      </c>
      <c r="H405" s="9" t="n"/>
      <c r="I405" s="9">
        <f>IF(OR(G405="",H405=""),"",G405*H405)</f>
        <v/>
      </c>
      <c r="J405" s="9" t="n"/>
      <c r="K405" s="9" t="n"/>
      <c r="L405" s="9">
        <f>IF(I405="","",I405-IF(J405="",0,J405)-IF(K405="",0,K405))</f>
        <v/>
      </c>
      <c r="M405" s="9">
        <f>IF(E405="","",XLOOKUP(E405,'Master Data'!$E$5:$E$15,'Master Data'!$G$5:$G$15,0))</f>
        <v/>
      </c>
      <c r="N405" s="9">
        <f>IF(E405="","",XLOOKUP(E405,'Master Data'!$E$5:$E$15,'Master Data'!$H$5:$H$15,0))</f>
        <v/>
      </c>
      <c r="O405" s="9">
        <f>IF(L405="","",L405-M405-N405)</f>
        <v/>
      </c>
      <c r="S405" s="9" t="n"/>
    </row>
    <row r="406">
      <c r="F406">
        <f>IF(E406="","",XLOOKUP(E406,'Master Data'!$E$5:$E$15,'Master Data'!$F$5:$F$15,""))</f>
        <v/>
      </c>
      <c r="H406" s="9" t="n"/>
      <c r="I406" s="9">
        <f>IF(OR(G406="",H406=""),"",G406*H406)</f>
        <v/>
      </c>
      <c r="J406" s="9" t="n"/>
      <c r="K406" s="9" t="n"/>
      <c r="L406" s="9">
        <f>IF(I406="","",I406-IF(J406="",0,J406)-IF(K406="",0,K406))</f>
        <v/>
      </c>
      <c r="M406" s="9">
        <f>IF(E406="","",XLOOKUP(E406,'Master Data'!$E$5:$E$15,'Master Data'!$G$5:$G$15,0))</f>
        <v/>
      </c>
      <c r="N406" s="9">
        <f>IF(E406="","",XLOOKUP(E406,'Master Data'!$E$5:$E$15,'Master Data'!$H$5:$H$15,0))</f>
        <v/>
      </c>
      <c r="O406" s="9">
        <f>IF(L406="","",L406-M406-N406)</f>
        <v/>
      </c>
      <c r="S406" s="9" t="n"/>
    </row>
    <row r="407">
      <c r="F407">
        <f>IF(E407="","",XLOOKUP(E407,'Master Data'!$E$5:$E$15,'Master Data'!$F$5:$F$15,""))</f>
        <v/>
      </c>
      <c r="H407" s="9" t="n"/>
      <c r="I407" s="9">
        <f>IF(OR(G407="",H407=""),"",G407*H407)</f>
        <v/>
      </c>
      <c r="J407" s="9" t="n"/>
      <c r="K407" s="9" t="n"/>
      <c r="L407" s="9">
        <f>IF(I407="","",I407-IF(J407="",0,J407)-IF(K407="",0,K407))</f>
        <v/>
      </c>
      <c r="M407" s="9">
        <f>IF(E407="","",XLOOKUP(E407,'Master Data'!$E$5:$E$15,'Master Data'!$G$5:$G$15,0))</f>
        <v/>
      </c>
      <c r="N407" s="9">
        <f>IF(E407="","",XLOOKUP(E407,'Master Data'!$E$5:$E$15,'Master Data'!$H$5:$H$15,0))</f>
        <v/>
      </c>
      <c r="O407" s="9">
        <f>IF(L407="","",L407-M407-N407)</f>
        <v/>
      </c>
      <c r="S407" s="9" t="n"/>
    </row>
    <row r="408">
      <c r="F408">
        <f>IF(E408="","",XLOOKUP(E408,'Master Data'!$E$5:$E$15,'Master Data'!$F$5:$F$15,""))</f>
        <v/>
      </c>
      <c r="H408" s="9" t="n"/>
      <c r="I408" s="9">
        <f>IF(OR(G408="",H408=""),"",G408*H408)</f>
        <v/>
      </c>
      <c r="J408" s="9" t="n"/>
      <c r="K408" s="9" t="n"/>
      <c r="L408" s="9">
        <f>IF(I408="","",I408-IF(J408="",0,J408)-IF(K408="",0,K408))</f>
        <v/>
      </c>
      <c r="M408" s="9">
        <f>IF(E408="","",XLOOKUP(E408,'Master Data'!$E$5:$E$15,'Master Data'!$G$5:$G$15,0))</f>
        <v/>
      </c>
      <c r="N408" s="9">
        <f>IF(E408="","",XLOOKUP(E408,'Master Data'!$E$5:$E$15,'Master Data'!$H$5:$H$15,0))</f>
        <v/>
      </c>
      <c r="O408" s="9">
        <f>IF(L408="","",L408-M408-N408)</f>
        <v/>
      </c>
      <c r="S408" s="9" t="n"/>
    </row>
    <row r="409">
      <c r="F409">
        <f>IF(E409="","",XLOOKUP(E409,'Master Data'!$E$5:$E$15,'Master Data'!$F$5:$F$15,""))</f>
        <v/>
      </c>
      <c r="H409" s="9" t="n"/>
      <c r="I409" s="9">
        <f>IF(OR(G409="",H409=""),"",G409*H409)</f>
        <v/>
      </c>
      <c r="J409" s="9" t="n"/>
      <c r="K409" s="9" t="n"/>
      <c r="L409" s="9">
        <f>IF(I409="","",I409-IF(J409="",0,J409)-IF(K409="",0,K409))</f>
        <v/>
      </c>
      <c r="M409" s="9">
        <f>IF(E409="","",XLOOKUP(E409,'Master Data'!$E$5:$E$15,'Master Data'!$G$5:$G$15,0))</f>
        <v/>
      </c>
      <c r="N409" s="9">
        <f>IF(E409="","",XLOOKUP(E409,'Master Data'!$E$5:$E$15,'Master Data'!$H$5:$H$15,0))</f>
        <v/>
      </c>
      <c r="O409" s="9">
        <f>IF(L409="","",L409-M409-N409)</f>
        <v/>
      </c>
      <c r="S409" s="9" t="n"/>
    </row>
    <row r="410">
      <c r="F410">
        <f>IF(E410="","",XLOOKUP(E410,'Master Data'!$E$5:$E$15,'Master Data'!$F$5:$F$15,""))</f>
        <v/>
      </c>
      <c r="H410" s="9" t="n"/>
      <c r="I410" s="9">
        <f>IF(OR(G410="",H410=""),"",G410*H410)</f>
        <v/>
      </c>
      <c r="J410" s="9" t="n"/>
      <c r="K410" s="9" t="n"/>
      <c r="L410" s="9">
        <f>IF(I410="","",I410-IF(J410="",0,J410)-IF(K410="",0,K410))</f>
        <v/>
      </c>
      <c r="M410" s="9">
        <f>IF(E410="","",XLOOKUP(E410,'Master Data'!$E$5:$E$15,'Master Data'!$G$5:$G$15,0))</f>
        <v/>
      </c>
      <c r="N410" s="9">
        <f>IF(E410="","",XLOOKUP(E410,'Master Data'!$E$5:$E$15,'Master Data'!$H$5:$H$15,0))</f>
        <v/>
      </c>
      <c r="O410" s="9">
        <f>IF(L410="","",L410-M410-N410)</f>
        <v/>
      </c>
      <c r="S410" s="9" t="n"/>
    </row>
    <row r="411">
      <c r="F411">
        <f>IF(E411="","",XLOOKUP(E411,'Master Data'!$E$5:$E$15,'Master Data'!$F$5:$F$15,""))</f>
        <v/>
      </c>
      <c r="H411" s="9" t="n"/>
      <c r="I411" s="9">
        <f>IF(OR(G411="",H411=""),"",G411*H411)</f>
        <v/>
      </c>
      <c r="J411" s="9" t="n"/>
      <c r="K411" s="9" t="n"/>
      <c r="L411" s="9">
        <f>IF(I411="","",I411-IF(J411="",0,J411)-IF(K411="",0,K411))</f>
        <v/>
      </c>
      <c r="M411" s="9">
        <f>IF(E411="","",XLOOKUP(E411,'Master Data'!$E$5:$E$15,'Master Data'!$G$5:$G$15,0))</f>
        <v/>
      </c>
      <c r="N411" s="9">
        <f>IF(E411="","",XLOOKUP(E411,'Master Data'!$E$5:$E$15,'Master Data'!$H$5:$H$15,0))</f>
        <v/>
      </c>
      <c r="O411" s="9">
        <f>IF(L411="","",L411-M411-N411)</f>
        <v/>
      </c>
      <c r="S411" s="9" t="n"/>
    </row>
    <row r="412">
      <c r="F412">
        <f>IF(E412="","",XLOOKUP(E412,'Master Data'!$E$5:$E$15,'Master Data'!$F$5:$F$15,""))</f>
        <v/>
      </c>
      <c r="H412" s="9" t="n"/>
      <c r="I412" s="9">
        <f>IF(OR(G412="",H412=""),"",G412*H412)</f>
        <v/>
      </c>
      <c r="J412" s="9" t="n"/>
      <c r="K412" s="9" t="n"/>
      <c r="L412" s="9">
        <f>IF(I412="","",I412-IF(J412="",0,J412)-IF(K412="",0,K412))</f>
        <v/>
      </c>
      <c r="M412" s="9">
        <f>IF(E412="","",XLOOKUP(E412,'Master Data'!$E$5:$E$15,'Master Data'!$G$5:$G$15,0))</f>
        <v/>
      </c>
      <c r="N412" s="9">
        <f>IF(E412="","",XLOOKUP(E412,'Master Data'!$E$5:$E$15,'Master Data'!$H$5:$H$15,0))</f>
        <v/>
      </c>
      <c r="O412" s="9">
        <f>IF(L412="","",L412-M412-N412)</f>
        <v/>
      </c>
      <c r="S412" s="9" t="n"/>
    </row>
    <row r="413">
      <c r="F413">
        <f>IF(E413="","",XLOOKUP(E413,'Master Data'!$E$5:$E$15,'Master Data'!$F$5:$F$15,""))</f>
        <v/>
      </c>
      <c r="H413" s="9" t="n"/>
      <c r="I413" s="9">
        <f>IF(OR(G413="",H413=""),"",G413*H413)</f>
        <v/>
      </c>
      <c r="J413" s="9" t="n"/>
      <c r="K413" s="9" t="n"/>
      <c r="L413" s="9">
        <f>IF(I413="","",I413-IF(J413="",0,J413)-IF(K413="",0,K413))</f>
        <v/>
      </c>
      <c r="M413" s="9">
        <f>IF(E413="","",XLOOKUP(E413,'Master Data'!$E$5:$E$15,'Master Data'!$G$5:$G$15,0))</f>
        <v/>
      </c>
      <c r="N413" s="9">
        <f>IF(E413="","",XLOOKUP(E413,'Master Data'!$E$5:$E$15,'Master Data'!$H$5:$H$15,0))</f>
        <v/>
      </c>
      <c r="O413" s="9">
        <f>IF(L413="","",L413-M413-N413)</f>
        <v/>
      </c>
      <c r="S413" s="9" t="n"/>
    </row>
    <row r="414">
      <c r="F414">
        <f>IF(E414="","",XLOOKUP(E414,'Master Data'!$E$5:$E$15,'Master Data'!$F$5:$F$15,""))</f>
        <v/>
      </c>
      <c r="H414" s="9" t="n"/>
      <c r="I414" s="9">
        <f>IF(OR(G414="",H414=""),"",G414*H414)</f>
        <v/>
      </c>
      <c r="J414" s="9" t="n"/>
      <c r="K414" s="9" t="n"/>
      <c r="L414" s="9">
        <f>IF(I414="","",I414-IF(J414="",0,J414)-IF(K414="",0,K414))</f>
        <v/>
      </c>
      <c r="M414" s="9">
        <f>IF(E414="","",XLOOKUP(E414,'Master Data'!$E$5:$E$15,'Master Data'!$G$5:$G$15,0))</f>
        <v/>
      </c>
      <c r="N414" s="9">
        <f>IF(E414="","",XLOOKUP(E414,'Master Data'!$E$5:$E$15,'Master Data'!$H$5:$H$15,0))</f>
        <v/>
      </c>
      <c r="O414" s="9">
        <f>IF(L414="","",L414-M414-N414)</f>
        <v/>
      </c>
      <c r="S414" s="9" t="n"/>
    </row>
    <row r="415">
      <c r="F415">
        <f>IF(E415="","",XLOOKUP(E415,'Master Data'!$E$5:$E$15,'Master Data'!$F$5:$F$15,""))</f>
        <v/>
      </c>
      <c r="H415" s="9" t="n"/>
      <c r="I415" s="9">
        <f>IF(OR(G415="",H415=""),"",G415*H415)</f>
        <v/>
      </c>
      <c r="J415" s="9" t="n"/>
      <c r="K415" s="9" t="n"/>
      <c r="L415" s="9">
        <f>IF(I415="","",I415-IF(J415="",0,J415)-IF(K415="",0,K415))</f>
        <v/>
      </c>
      <c r="M415" s="9">
        <f>IF(E415="","",XLOOKUP(E415,'Master Data'!$E$5:$E$15,'Master Data'!$G$5:$G$15,0))</f>
        <v/>
      </c>
      <c r="N415" s="9">
        <f>IF(E415="","",XLOOKUP(E415,'Master Data'!$E$5:$E$15,'Master Data'!$H$5:$H$15,0))</f>
        <v/>
      </c>
      <c r="O415" s="9">
        <f>IF(L415="","",L415-M415-N415)</f>
        <v/>
      </c>
      <c r="S415" s="9" t="n"/>
    </row>
    <row r="416">
      <c r="F416">
        <f>IF(E416="","",XLOOKUP(E416,'Master Data'!$E$5:$E$15,'Master Data'!$F$5:$F$15,""))</f>
        <v/>
      </c>
      <c r="H416" s="9" t="n"/>
      <c r="I416" s="9">
        <f>IF(OR(G416="",H416=""),"",G416*H416)</f>
        <v/>
      </c>
      <c r="J416" s="9" t="n"/>
      <c r="K416" s="9" t="n"/>
      <c r="L416" s="9">
        <f>IF(I416="","",I416-IF(J416="",0,J416)-IF(K416="",0,K416))</f>
        <v/>
      </c>
      <c r="M416" s="9">
        <f>IF(E416="","",XLOOKUP(E416,'Master Data'!$E$5:$E$15,'Master Data'!$G$5:$G$15,0))</f>
        <v/>
      </c>
      <c r="N416" s="9">
        <f>IF(E416="","",XLOOKUP(E416,'Master Data'!$E$5:$E$15,'Master Data'!$H$5:$H$15,0))</f>
        <v/>
      </c>
      <c r="O416" s="9">
        <f>IF(L416="","",L416-M416-N416)</f>
        <v/>
      </c>
      <c r="S416" s="9" t="n"/>
    </row>
    <row r="417">
      <c r="F417">
        <f>IF(E417="","",XLOOKUP(E417,'Master Data'!$E$5:$E$15,'Master Data'!$F$5:$F$15,""))</f>
        <v/>
      </c>
      <c r="H417" s="9" t="n"/>
      <c r="I417" s="9">
        <f>IF(OR(G417="",H417=""),"",G417*H417)</f>
        <v/>
      </c>
      <c r="J417" s="9" t="n"/>
      <c r="K417" s="9" t="n"/>
      <c r="L417" s="9">
        <f>IF(I417="","",I417-IF(J417="",0,J417)-IF(K417="",0,K417))</f>
        <v/>
      </c>
      <c r="M417" s="9">
        <f>IF(E417="","",XLOOKUP(E417,'Master Data'!$E$5:$E$15,'Master Data'!$G$5:$G$15,0))</f>
        <v/>
      </c>
      <c r="N417" s="9">
        <f>IF(E417="","",XLOOKUP(E417,'Master Data'!$E$5:$E$15,'Master Data'!$H$5:$H$15,0))</f>
        <v/>
      </c>
      <c r="O417" s="9">
        <f>IF(L417="","",L417-M417-N417)</f>
        <v/>
      </c>
      <c r="S417" s="9" t="n"/>
    </row>
    <row r="418">
      <c r="F418">
        <f>IF(E418="","",XLOOKUP(E418,'Master Data'!$E$5:$E$15,'Master Data'!$F$5:$F$15,""))</f>
        <v/>
      </c>
      <c r="H418" s="9" t="n"/>
      <c r="I418" s="9">
        <f>IF(OR(G418="",H418=""),"",G418*H418)</f>
        <v/>
      </c>
      <c r="J418" s="9" t="n"/>
      <c r="K418" s="9" t="n"/>
      <c r="L418" s="9">
        <f>IF(I418="","",I418-IF(J418="",0,J418)-IF(K418="",0,K418))</f>
        <v/>
      </c>
      <c r="M418" s="9">
        <f>IF(E418="","",XLOOKUP(E418,'Master Data'!$E$5:$E$15,'Master Data'!$G$5:$G$15,0))</f>
        <v/>
      </c>
      <c r="N418" s="9">
        <f>IF(E418="","",XLOOKUP(E418,'Master Data'!$E$5:$E$15,'Master Data'!$H$5:$H$15,0))</f>
        <v/>
      </c>
      <c r="O418" s="9">
        <f>IF(L418="","",L418-M418-N418)</f>
        <v/>
      </c>
      <c r="S418" s="9" t="n"/>
    </row>
    <row r="419">
      <c r="F419">
        <f>IF(E419="","",XLOOKUP(E419,'Master Data'!$E$5:$E$15,'Master Data'!$F$5:$F$15,""))</f>
        <v/>
      </c>
      <c r="H419" s="9" t="n"/>
      <c r="I419" s="9">
        <f>IF(OR(G419="",H419=""),"",G419*H419)</f>
        <v/>
      </c>
      <c r="J419" s="9" t="n"/>
      <c r="K419" s="9" t="n"/>
      <c r="L419" s="9">
        <f>IF(I419="","",I419-IF(J419="",0,J419)-IF(K419="",0,K419))</f>
        <v/>
      </c>
      <c r="M419" s="9">
        <f>IF(E419="","",XLOOKUP(E419,'Master Data'!$E$5:$E$15,'Master Data'!$G$5:$G$15,0))</f>
        <v/>
      </c>
      <c r="N419" s="9">
        <f>IF(E419="","",XLOOKUP(E419,'Master Data'!$E$5:$E$15,'Master Data'!$H$5:$H$15,0))</f>
        <v/>
      </c>
      <c r="O419" s="9">
        <f>IF(L419="","",L419-M419-N419)</f>
        <v/>
      </c>
      <c r="S419" s="9" t="n"/>
    </row>
    <row r="420">
      <c r="F420">
        <f>IF(E420="","",XLOOKUP(E420,'Master Data'!$E$5:$E$15,'Master Data'!$F$5:$F$15,""))</f>
        <v/>
      </c>
      <c r="H420" s="9" t="n"/>
      <c r="I420" s="9">
        <f>IF(OR(G420="",H420=""),"",G420*H420)</f>
        <v/>
      </c>
      <c r="J420" s="9" t="n"/>
      <c r="K420" s="9" t="n"/>
      <c r="L420" s="9">
        <f>IF(I420="","",I420-IF(J420="",0,J420)-IF(K420="",0,K420))</f>
        <v/>
      </c>
      <c r="M420" s="9">
        <f>IF(E420="","",XLOOKUP(E420,'Master Data'!$E$5:$E$15,'Master Data'!$G$5:$G$15,0))</f>
        <v/>
      </c>
      <c r="N420" s="9">
        <f>IF(E420="","",XLOOKUP(E420,'Master Data'!$E$5:$E$15,'Master Data'!$H$5:$H$15,0))</f>
        <v/>
      </c>
      <c r="O420" s="9">
        <f>IF(L420="","",L420-M420-N420)</f>
        <v/>
      </c>
      <c r="S420" s="9" t="n"/>
    </row>
    <row r="421">
      <c r="F421">
        <f>IF(E421="","",XLOOKUP(E421,'Master Data'!$E$5:$E$15,'Master Data'!$F$5:$F$15,""))</f>
        <v/>
      </c>
      <c r="H421" s="9" t="n"/>
      <c r="I421" s="9">
        <f>IF(OR(G421="",H421=""),"",G421*H421)</f>
        <v/>
      </c>
      <c r="J421" s="9" t="n"/>
      <c r="K421" s="9" t="n"/>
      <c r="L421" s="9">
        <f>IF(I421="","",I421-IF(J421="",0,J421)-IF(K421="",0,K421))</f>
        <v/>
      </c>
      <c r="M421" s="9">
        <f>IF(E421="","",XLOOKUP(E421,'Master Data'!$E$5:$E$15,'Master Data'!$G$5:$G$15,0))</f>
        <v/>
      </c>
      <c r="N421" s="9">
        <f>IF(E421="","",XLOOKUP(E421,'Master Data'!$E$5:$E$15,'Master Data'!$H$5:$H$15,0))</f>
        <v/>
      </c>
      <c r="O421" s="9">
        <f>IF(L421="","",L421-M421-N421)</f>
        <v/>
      </c>
      <c r="S421" s="9" t="n"/>
    </row>
    <row r="422">
      <c r="F422">
        <f>IF(E422="","",XLOOKUP(E422,'Master Data'!$E$5:$E$15,'Master Data'!$F$5:$F$15,""))</f>
        <v/>
      </c>
      <c r="H422" s="9" t="n"/>
      <c r="I422" s="9">
        <f>IF(OR(G422="",H422=""),"",G422*H422)</f>
        <v/>
      </c>
      <c r="J422" s="9" t="n"/>
      <c r="K422" s="9" t="n"/>
      <c r="L422" s="9">
        <f>IF(I422="","",I422-IF(J422="",0,J422)-IF(K422="",0,K422))</f>
        <v/>
      </c>
      <c r="M422" s="9">
        <f>IF(E422="","",XLOOKUP(E422,'Master Data'!$E$5:$E$15,'Master Data'!$G$5:$G$15,0))</f>
        <v/>
      </c>
      <c r="N422" s="9">
        <f>IF(E422="","",XLOOKUP(E422,'Master Data'!$E$5:$E$15,'Master Data'!$H$5:$H$15,0))</f>
        <v/>
      </c>
      <c r="O422" s="9">
        <f>IF(L422="","",L422-M422-N422)</f>
        <v/>
      </c>
      <c r="S422" s="9" t="n"/>
    </row>
    <row r="423">
      <c r="F423">
        <f>IF(E423="","",XLOOKUP(E423,'Master Data'!$E$5:$E$15,'Master Data'!$F$5:$F$15,""))</f>
        <v/>
      </c>
      <c r="H423" s="9" t="n"/>
      <c r="I423" s="9">
        <f>IF(OR(G423="",H423=""),"",G423*H423)</f>
        <v/>
      </c>
      <c r="J423" s="9" t="n"/>
      <c r="K423" s="9" t="n"/>
      <c r="L423" s="9">
        <f>IF(I423="","",I423-IF(J423="",0,J423)-IF(K423="",0,K423))</f>
        <v/>
      </c>
      <c r="M423" s="9">
        <f>IF(E423="","",XLOOKUP(E423,'Master Data'!$E$5:$E$15,'Master Data'!$G$5:$G$15,0))</f>
        <v/>
      </c>
      <c r="N423" s="9">
        <f>IF(E423="","",XLOOKUP(E423,'Master Data'!$E$5:$E$15,'Master Data'!$H$5:$H$15,0))</f>
        <v/>
      </c>
      <c r="O423" s="9">
        <f>IF(L423="","",L423-M423-N423)</f>
        <v/>
      </c>
      <c r="S423" s="9" t="n"/>
    </row>
    <row r="424">
      <c r="F424">
        <f>IF(E424="","",XLOOKUP(E424,'Master Data'!$E$5:$E$15,'Master Data'!$F$5:$F$15,""))</f>
        <v/>
      </c>
      <c r="H424" s="9" t="n"/>
      <c r="I424" s="9">
        <f>IF(OR(G424="",H424=""),"",G424*H424)</f>
        <v/>
      </c>
      <c r="J424" s="9" t="n"/>
      <c r="K424" s="9" t="n"/>
      <c r="L424" s="9">
        <f>IF(I424="","",I424-IF(J424="",0,J424)-IF(K424="",0,K424))</f>
        <v/>
      </c>
      <c r="M424" s="9">
        <f>IF(E424="","",XLOOKUP(E424,'Master Data'!$E$5:$E$15,'Master Data'!$G$5:$G$15,0))</f>
        <v/>
      </c>
      <c r="N424" s="9">
        <f>IF(E424="","",XLOOKUP(E424,'Master Data'!$E$5:$E$15,'Master Data'!$H$5:$H$15,0))</f>
        <v/>
      </c>
      <c r="O424" s="9">
        <f>IF(L424="","",L424-M424-N424)</f>
        <v/>
      </c>
      <c r="S424" s="9" t="n"/>
    </row>
    <row r="425">
      <c r="F425">
        <f>IF(E425="","",XLOOKUP(E425,'Master Data'!$E$5:$E$15,'Master Data'!$F$5:$F$15,""))</f>
        <v/>
      </c>
      <c r="H425" s="9" t="n"/>
      <c r="I425" s="9">
        <f>IF(OR(G425="",H425=""),"",G425*H425)</f>
        <v/>
      </c>
      <c r="J425" s="9" t="n"/>
      <c r="K425" s="9" t="n"/>
      <c r="L425" s="9">
        <f>IF(I425="","",I425-IF(J425="",0,J425)-IF(K425="",0,K425))</f>
        <v/>
      </c>
      <c r="M425" s="9">
        <f>IF(E425="","",XLOOKUP(E425,'Master Data'!$E$5:$E$15,'Master Data'!$G$5:$G$15,0))</f>
        <v/>
      </c>
      <c r="N425" s="9">
        <f>IF(E425="","",XLOOKUP(E425,'Master Data'!$E$5:$E$15,'Master Data'!$H$5:$H$15,0))</f>
        <v/>
      </c>
      <c r="O425" s="9">
        <f>IF(L425="","",L425-M425-N425)</f>
        <v/>
      </c>
      <c r="S425" s="9" t="n"/>
    </row>
    <row r="426">
      <c r="F426">
        <f>IF(E426="","",XLOOKUP(E426,'Master Data'!$E$5:$E$15,'Master Data'!$F$5:$F$15,""))</f>
        <v/>
      </c>
      <c r="H426" s="9" t="n"/>
      <c r="I426" s="9">
        <f>IF(OR(G426="",H426=""),"",G426*H426)</f>
        <v/>
      </c>
      <c r="J426" s="9" t="n"/>
      <c r="K426" s="9" t="n"/>
      <c r="L426" s="9">
        <f>IF(I426="","",I426-IF(J426="",0,J426)-IF(K426="",0,K426))</f>
        <v/>
      </c>
      <c r="M426" s="9">
        <f>IF(E426="","",XLOOKUP(E426,'Master Data'!$E$5:$E$15,'Master Data'!$G$5:$G$15,0))</f>
        <v/>
      </c>
      <c r="N426" s="9">
        <f>IF(E426="","",XLOOKUP(E426,'Master Data'!$E$5:$E$15,'Master Data'!$H$5:$H$15,0))</f>
        <v/>
      </c>
      <c r="O426" s="9">
        <f>IF(L426="","",L426-M426-N426)</f>
        <v/>
      </c>
      <c r="S426" s="9" t="n"/>
    </row>
    <row r="427">
      <c r="F427">
        <f>IF(E427="","",XLOOKUP(E427,'Master Data'!$E$5:$E$15,'Master Data'!$F$5:$F$15,""))</f>
        <v/>
      </c>
      <c r="H427" s="9" t="n"/>
      <c r="I427" s="9">
        <f>IF(OR(G427="",H427=""),"",G427*H427)</f>
        <v/>
      </c>
      <c r="J427" s="9" t="n"/>
      <c r="K427" s="9" t="n"/>
      <c r="L427" s="9">
        <f>IF(I427="","",I427-IF(J427="",0,J427)-IF(K427="",0,K427))</f>
        <v/>
      </c>
      <c r="M427" s="9">
        <f>IF(E427="","",XLOOKUP(E427,'Master Data'!$E$5:$E$15,'Master Data'!$G$5:$G$15,0))</f>
        <v/>
      </c>
      <c r="N427" s="9">
        <f>IF(E427="","",XLOOKUP(E427,'Master Data'!$E$5:$E$15,'Master Data'!$H$5:$H$15,0))</f>
        <v/>
      </c>
      <c r="O427" s="9">
        <f>IF(L427="","",L427-M427-N427)</f>
        <v/>
      </c>
      <c r="S427" s="9" t="n"/>
    </row>
    <row r="428">
      <c r="F428">
        <f>IF(E428="","",XLOOKUP(E428,'Master Data'!$E$5:$E$15,'Master Data'!$F$5:$F$15,""))</f>
        <v/>
      </c>
      <c r="H428" s="9" t="n"/>
      <c r="I428" s="9">
        <f>IF(OR(G428="",H428=""),"",G428*H428)</f>
        <v/>
      </c>
      <c r="J428" s="9" t="n"/>
      <c r="K428" s="9" t="n"/>
      <c r="L428" s="9">
        <f>IF(I428="","",I428-IF(J428="",0,J428)-IF(K428="",0,K428))</f>
        <v/>
      </c>
      <c r="M428" s="9">
        <f>IF(E428="","",XLOOKUP(E428,'Master Data'!$E$5:$E$15,'Master Data'!$G$5:$G$15,0))</f>
        <v/>
      </c>
      <c r="N428" s="9">
        <f>IF(E428="","",XLOOKUP(E428,'Master Data'!$E$5:$E$15,'Master Data'!$H$5:$H$15,0))</f>
        <v/>
      </c>
      <c r="O428" s="9">
        <f>IF(L428="","",L428-M428-N428)</f>
        <v/>
      </c>
      <c r="S428" s="9" t="n"/>
    </row>
    <row r="429">
      <c r="F429">
        <f>IF(E429="","",XLOOKUP(E429,'Master Data'!$E$5:$E$15,'Master Data'!$F$5:$F$15,""))</f>
        <v/>
      </c>
      <c r="H429" s="9" t="n"/>
      <c r="I429" s="9">
        <f>IF(OR(G429="",H429=""),"",G429*H429)</f>
        <v/>
      </c>
      <c r="J429" s="9" t="n"/>
      <c r="K429" s="9" t="n"/>
      <c r="L429" s="9">
        <f>IF(I429="","",I429-IF(J429="",0,J429)-IF(K429="",0,K429))</f>
        <v/>
      </c>
      <c r="M429" s="9">
        <f>IF(E429="","",XLOOKUP(E429,'Master Data'!$E$5:$E$15,'Master Data'!$G$5:$G$15,0))</f>
        <v/>
      </c>
      <c r="N429" s="9">
        <f>IF(E429="","",XLOOKUP(E429,'Master Data'!$E$5:$E$15,'Master Data'!$H$5:$H$15,0))</f>
        <v/>
      </c>
      <c r="O429" s="9">
        <f>IF(L429="","",L429-M429-N429)</f>
        <v/>
      </c>
      <c r="S429" s="9" t="n"/>
    </row>
    <row r="430">
      <c r="F430">
        <f>IF(E430="","",XLOOKUP(E430,'Master Data'!$E$5:$E$15,'Master Data'!$F$5:$F$15,""))</f>
        <v/>
      </c>
      <c r="H430" s="9" t="n"/>
      <c r="I430" s="9">
        <f>IF(OR(G430="",H430=""),"",G430*H430)</f>
        <v/>
      </c>
      <c r="J430" s="9" t="n"/>
      <c r="K430" s="9" t="n"/>
      <c r="L430" s="9">
        <f>IF(I430="","",I430-IF(J430="",0,J430)-IF(K430="",0,K430))</f>
        <v/>
      </c>
      <c r="M430" s="9">
        <f>IF(E430="","",XLOOKUP(E430,'Master Data'!$E$5:$E$15,'Master Data'!$G$5:$G$15,0))</f>
        <v/>
      </c>
      <c r="N430" s="9">
        <f>IF(E430="","",XLOOKUP(E430,'Master Data'!$E$5:$E$15,'Master Data'!$H$5:$H$15,0))</f>
        <v/>
      </c>
      <c r="O430" s="9">
        <f>IF(L430="","",L430-M430-N430)</f>
        <v/>
      </c>
      <c r="S430" s="9" t="n"/>
    </row>
    <row r="431">
      <c r="F431">
        <f>IF(E431="","",XLOOKUP(E431,'Master Data'!$E$5:$E$15,'Master Data'!$F$5:$F$15,""))</f>
        <v/>
      </c>
      <c r="H431" s="9" t="n"/>
      <c r="I431" s="9">
        <f>IF(OR(G431="",H431=""),"",G431*H431)</f>
        <v/>
      </c>
      <c r="J431" s="9" t="n"/>
      <c r="K431" s="9" t="n"/>
      <c r="L431" s="9">
        <f>IF(I431="","",I431-IF(J431="",0,J431)-IF(K431="",0,K431))</f>
        <v/>
      </c>
      <c r="M431" s="9">
        <f>IF(E431="","",XLOOKUP(E431,'Master Data'!$E$5:$E$15,'Master Data'!$G$5:$G$15,0))</f>
        <v/>
      </c>
      <c r="N431" s="9">
        <f>IF(E431="","",XLOOKUP(E431,'Master Data'!$E$5:$E$15,'Master Data'!$H$5:$H$15,0))</f>
        <v/>
      </c>
      <c r="O431" s="9">
        <f>IF(L431="","",L431-M431-N431)</f>
        <v/>
      </c>
      <c r="S431" s="9" t="n"/>
    </row>
    <row r="432">
      <c r="F432">
        <f>IF(E432="","",XLOOKUP(E432,'Master Data'!$E$5:$E$15,'Master Data'!$F$5:$F$15,""))</f>
        <v/>
      </c>
      <c r="H432" s="9" t="n"/>
      <c r="I432" s="9">
        <f>IF(OR(G432="",H432=""),"",G432*H432)</f>
        <v/>
      </c>
      <c r="J432" s="9" t="n"/>
      <c r="K432" s="9" t="n"/>
      <c r="L432" s="9">
        <f>IF(I432="","",I432-IF(J432="",0,J432)-IF(K432="",0,K432))</f>
        <v/>
      </c>
      <c r="M432" s="9">
        <f>IF(E432="","",XLOOKUP(E432,'Master Data'!$E$5:$E$15,'Master Data'!$G$5:$G$15,0))</f>
        <v/>
      </c>
      <c r="N432" s="9">
        <f>IF(E432="","",XLOOKUP(E432,'Master Data'!$E$5:$E$15,'Master Data'!$H$5:$H$15,0))</f>
        <v/>
      </c>
      <c r="O432" s="9">
        <f>IF(L432="","",L432-M432-N432)</f>
        <v/>
      </c>
      <c r="S432" s="9" t="n"/>
    </row>
    <row r="433">
      <c r="F433">
        <f>IF(E433="","",XLOOKUP(E433,'Master Data'!$E$5:$E$15,'Master Data'!$F$5:$F$15,""))</f>
        <v/>
      </c>
      <c r="H433" s="9" t="n"/>
      <c r="I433" s="9">
        <f>IF(OR(G433="",H433=""),"",G433*H433)</f>
        <v/>
      </c>
      <c r="J433" s="9" t="n"/>
      <c r="K433" s="9" t="n"/>
      <c r="L433" s="9">
        <f>IF(I433="","",I433-IF(J433="",0,J433)-IF(K433="",0,K433))</f>
        <v/>
      </c>
      <c r="M433" s="9">
        <f>IF(E433="","",XLOOKUP(E433,'Master Data'!$E$5:$E$15,'Master Data'!$G$5:$G$15,0))</f>
        <v/>
      </c>
      <c r="N433" s="9">
        <f>IF(E433="","",XLOOKUP(E433,'Master Data'!$E$5:$E$15,'Master Data'!$H$5:$H$15,0))</f>
        <v/>
      </c>
      <c r="O433" s="9">
        <f>IF(L433="","",L433-M433-N433)</f>
        <v/>
      </c>
      <c r="S433" s="9" t="n"/>
    </row>
    <row r="434">
      <c r="F434">
        <f>IF(E434="","",XLOOKUP(E434,'Master Data'!$E$5:$E$15,'Master Data'!$F$5:$F$15,""))</f>
        <v/>
      </c>
      <c r="H434" s="9" t="n"/>
      <c r="I434" s="9">
        <f>IF(OR(G434="",H434=""),"",G434*H434)</f>
        <v/>
      </c>
      <c r="J434" s="9" t="n"/>
      <c r="K434" s="9" t="n"/>
      <c r="L434" s="9">
        <f>IF(I434="","",I434-IF(J434="",0,J434)-IF(K434="",0,K434))</f>
        <v/>
      </c>
      <c r="M434" s="9">
        <f>IF(E434="","",XLOOKUP(E434,'Master Data'!$E$5:$E$15,'Master Data'!$G$5:$G$15,0))</f>
        <v/>
      </c>
      <c r="N434" s="9">
        <f>IF(E434="","",XLOOKUP(E434,'Master Data'!$E$5:$E$15,'Master Data'!$H$5:$H$15,0))</f>
        <v/>
      </c>
      <c r="O434" s="9">
        <f>IF(L434="","",L434-M434-N434)</f>
        <v/>
      </c>
      <c r="S434" s="9" t="n"/>
    </row>
    <row r="435">
      <c r="F435">
        <f>IF(E435="","",XLOOKUP(E435,'Master Data'!$E$5:$E$15,'Master Data'!$F$5:$F$15,""))</f>
        <v/>
      </c>
      <c r="H435" s="9" t="n"/>
      <c r="I435" s="9">
        <f>IF(OR(G435="",H435=""),"",G435*H435)</f>
        <v/>
      </c>
      <c r="J435" s="9" t="n"/>
      <c r="K435" s="9" t="n"/>
      <c r="L435" s="9">
        <f>IF(I435="","",I435-IF(J435="",0,J435)-IF(K435="",0,K435))</f>
        <v/>
      </c>
      <c r="M435" s="9">
        <f>IF(E435="","",XLOOKUP(E435,'Master Data'!$E$5:$E$15,'Master Data'!$G$5:$G$15,0))</f>
        <v/>
      </c>
      <c r="N435" s="9">
        <f>IF(E435="","",XLOOKUP(E435,'Master Data'!$E$5:$E$15,'Master Data'!$H$5:$H$15,0))</f>
        <v/>
      </c>
      <c r="O435" s="9">
        <f>IF(L435="","",L435-M435-N435)</f>
        <v/>
      </c>
      <c r="S435" s="9" t="n"/>
    </row>
    <row r="436">
      <c r="F436">
        <f>IF(E436="","",XLOOKUP(E436,'Master Data'!$E$5:$E$15,'Master Data'!$F$5:$F$15,""))</f>
        <v/>
      </c>
      <c r="H436" s="9" t="n"/>
      <c r="I436" s="9">
        <f>IF(OR(G436="",H436=""),"",G436*H436)</f>
        <v/>
      </c>
      <c r="J436" s="9" t="n"/>
      <c r="K436" s="9" t="n"/>
      <c r="L436" s="9">
        <f>IF(I436="","",I436-IF(J436="",0,J436)-IF(K436="",0,K436))</f>
        <v/>
      </c>
      <c r="M436" s="9">
        <f>IF(E436="","",XLOOKUP(E436,'Master Data'!$E$5:$E$15,'Master Data'!$G$5:$G$15,0))</f>
        <v/>
      </c>
      <c r="N436" s="9">
        <f>IF(E436="","",XLOOKUP(E436,'Master Data'!$E$5:$E$15,'Master Data'!$H$5:$H$15,0))</f>
        <v/>
      </c>
      <c r="O436" s="9">
        <f>IF(L436="","",L436-M436-N436)</f>
        <v/>
      </c>
      <c r="S436" s="9" t="n"/>
    </row>
    <row r="437">
      <c r="F437">
        <f>IF(E437="","",XLOOKUP(E437,'Master Data'!$E$5:$E$15,'Master Data'!$F$5:$F$15,""))</f>
        <v/>
      </c>
      <c r="H437" s="9" t="n"/>
      <c r="I437" s="9">
        <f>IF(OR(G437="",H437=""),"",G437*H437)</f>
        <v/>
      </c>
      <c r="J437" s="9" t="n"/>
      <c r="K437" s="9" t="n"/>
      <c r="L437" s="9">
        <f>IF(I437="","",I437-IF(J437="",0,J437)-IF(K437="",0,K437))</f>
        <v/>
      </c>
      <c r="M437" s="9">
        <f>IF(E437="","",XLOOKUP(E437,'Master Data'!$E$5:$E$15,'Master Data'!$G$5:$G$15,0))</f>
        <v/>
      </c>
      <c r="N437" s="9">
        <f>IF(E437="","",XLOOKUP(E437,'Master Data'!$E$5:$E$15,'Master Data'!$H$5:$H$15,0))</f>
        <v/>
      </c>
      <c r="O437" s="9">
        <f>IF(L437="","",L437-M437-N437)</f>
        <v/>
      </c>
      <c r="S437" s="9" t="n"/>
    </row>
    <row r="438">
      <c r="F438">
        <f>IF(E438="","",XLOOKUP(E438,'Master Data'!$E$5:$E$15,'Master Data'!$F$5:$F$15,""))</f>
        <v/>
      </c>
      <c r="H438" s="9" t="n"/>
      <c r="I438" s="9">
        <f>IF(OR(G438="",H438=""),"",G438*H438)</f>
        <v/>
      </c>
      <c r="J438" s="9" t="n"/>
      <c r="K438" s="9" t="n"/>
      <c r="L438" s="9">
        <f>IF(I438="","",I438-IF(J438="",0,J438)-IF(K438="",0,K438))</f>
        <v/>
      </c>
      <c r="M438" s="9">
        <f>IF(E438="","",XLOOKUP(E438,'Master Data'!$E$5:$E$15,'Master Data'!$G$5:$G$15,0))</f>
        <v/>
      </c>
      <c r="N438" s="9">
        <f>IF(E438="","",XLOOKUP(E438,'Master Data'!$E$5:$E$15,'Master Data'!$H$5:$H$15,0))</f>
        <v/>
      </c>
      <c r="O438" s="9">
        <f>IF(L438="","",L438-M438-N438)</f>
        <v/>
      </c>
      <c r="S438" s="9" t="n"/>
    </row>
    <row r="439">
      <c r="F439">
        <f>IF(E439="","",XLOOKUP(E439,'Master Data'!$E$5:$E$15,'Master Data'!$F$5:$F$15,""))</f>
        <v/>
      </c>
      <c r="H439" s="9" t="n"/>
      <c r="I439" s="9">
        <f>IF(OR(G439="",H439=""),"",G439*H439)</f>
        <v/>
      </c>
      <c r="J439" s="9" t="n"/>
      <c r="K439" s="9" t="n"/>
      <c r="L439" s="9">
        <f>IF(I439="","",I439-IF(J439="",0,J439)-IF(K439="",0,K439))</f>
        <v/>
      </c>
      <c r="M439" s="9">
        <f>IF(E439="","",XLOOKUP(E439,'Master Data'!$E$5:$E$15,'Master Data'!$G$5:$G$15,0))</f>
        <v/>
      </c>
      <c r="N439" s="9">
        <f>IF(E439="","",XLOOKUP(E439,'Master Data'!$E$5:$E$15,'Master Data'!$H$5:$H$15,0))</f>
        <v/>
      </c>
      <c r="O439" s="9">
        <f>IF(L439="","",L439-M439-N439)</f>
        <v/>
      </c>
      <c r="S439" s="9" t="n"/>
    </row>
    <row r="440">
      <c r="F440">
        <f>IF(E440="","",XLOOKUP(E440,'Master Data'!$E$5:$E$15,'Master Data'!$F$5:$F$15,""))</f>
        <v/>
      </c>
      <c r="H440" s="9" t="n"/>
      <c r="I440" s="9">
        <f>IF(OR(G440="",H440=""),"",G440*H440)</f>
        <v/>
      </c>
      <c r="J440" s="9" t="n"/>
      <c r="K440" s="9" t="n"/>
      <c r="L440" s="9">
        <f>IF(I440="","",I440-IF(J440="",0,J440)-IF(K440="",0,K440))</f>
        <v/>
      </c>
      <c r="M440" s="9">
        <f>IF(E440="","",XLOOKUP(E440,'Master Data'!$E$5:$E$15,'Master Data'!$G$5:$G$15,0))</f>
        <v/>
      </c>
      <c r="N440" s="9">
        <f>IF(E440="","",XLOOKUP(E440,'Master Data'!$E$5:$E$15,'Master Data'!$H$5:$H$15,0))</f>
        <v/>
      </c>
      <c r="O440" s="9">
        <f>IF(L440="","",L440-M440-N440)</f>
        <v/>
      </c>
      <c r="S440" s="9" t="n"/>
    </row>
    <row r="441">
      <c r="F441">
        <f>IF(E441="","",XLOOKUP(E441,'Master Data'!$E$5:$E$15,'Master Data'!$F$5:$F$15,""))</f>
        <v/>
      </c>
      <c r="H441" s="9" t="n"/>
      <c r="I441" s="9">
        <f>IF(OR(G441="",H441=""),"",G441*H441)</f>
        <v/>
      </c>
      <c r="J441" s="9" t="n"/>
      <c r="K441" s="9" t="n"/>
      <c r="L441" s="9">
        <f>IF(I441="","",I441-IF(J441="",0,J441)-IF(K441="",0,K441))</f>
        <v/>
      </c>
      <c r="M441" s="9">
        <f>IF(E441="","",XLOOKUP(E441,'Master Data'!$E$5:$E$15,'Master Data'!$G$5:$G$15,0))</f>
        <v/>
      </c>
      <c r="N441" s="9">
        <f>IF(E441="","",XLOOKUP(E441,'Master Data'!$E$5:$E$15,'Master Data'!$H$5:$H$15,0))</f>
        <v/>
      </c>
      <c r="O441" s="9">
        <f>IF(L441="","",L441-M441-N441)</f>
        <v/>
      </c>
      <c r="S441" s="9" t="n"/>
    </row>
    <row r="442">
      <c r="F442">
        <f>IF(E442="","",XLOOKUP(E442,'Master Data'!$E$5:$E$15,'Master Data'!$F$5:$F$15,""))</f>
        <v/>
      </c>
      <c r="H442" s="9" t="n"/>
      <c r="I442" s="9">
        <f>IF(OR(G442="",H442=""),"",G442*H442)</f>
        <v/>
      </c>
      <c r="J442" s="9" t="n"/>
      <c r="K442" s="9" t="n"/>
      <c r="L442" s="9">
        <f>IF(I442="","",I442-IF(J442="",0,J442)-IF(K442="",0,K442))</f>
        <v/>
      </c>
      <c r="M442" s="9">
        <f>IF(E442="","",XLOOKUP(E442,'Master Data'!$E$5:$E$15,'Master Data'!$G$5:$G$15,0))</f>
        <v/>
      </c>
      <c r="N442" s="9">
        <f>IF(E442="","",XLOOKUP(E442,'Master Data'!$E$5:$E$15,'Master Data'!$H$5:$H$15,0))</f>
        <v/>
      </c>
      <c r="O442" s="9">
        <f>IF(L442="","",L442-M442-N442)</f>
        <v/>
      </c>
      <c r="S442" s="9" t="n"/>
    </row>
    <row r="443">
      <c r="F443">
        <f>IF(E443="","",XLOOKUP(E443,'Master Data'!$E$5:$E$15,'Master Data'!$F$5:$F$15,""))</f>
        <v/>
      </c>
      <c r="H443" s="9" t="n"/>
      <c r="I443" s="9">
        <f>IF(OR(G443="",H443=""),"",G443*H443)</f>
        <v/>
      </c>
      <c r="J443" s="9" t="n"/>
      <c r="K443" s="9" t="n"/>
      <c r="L443" s="9">
        <f>IF(I443="","",I443-IF(J443="",0,J443)-IF(K443="",0,K443))</f>
        <v/>
      </c>
      <c r="M443" s="9">
        <f>IF(E443="","",XLOOKUP(E443,'Master Data'!$E$5:$E$15,'Master Data'!$G$5:$G$15,0))</f>
        <v/>
      </c>
      <c r="N443" s="9">
        <f>IF(E443="","",XLOOKUP(E443,'Master Data'!$E$5:$E$15,'Master Data'!$H$5:$H$15,0))</f>
        <v/>
      </c>
      <c r="O443" s="9">
        <f>IF(L443="","",L443-M443-N443)</f>
        <v/>
      </c>
      <c r="S443" s="9" t="n"/>
    </row>
    <row r="444">
      <c r="F444">
        <f>IF(E444="","",XLOOKUP(E444,'Master Data'!$E$5:$E$15,'Master Data'!$F$5:$F$15,""))</f>
        <v/>
      </c>
      <c r="H444" s="9" t="n"/>
      <c r="I444" s="9">
        <f>IF(OR(G444="",H444=""),"",G444*H444)</f>
        <v/>
      </c>
      <c r="J444" s="9" t="n"/>
      <c r="K444" s="9" t="n"/>
      <c r="L444" s="9">
        <f>IF(I444="","",I444-IF(J444="",0,J444)-IF(K444="",0,K444))</f>
        <v/>
      </c>
      <c r="M444" s="9">
        <f>IF(E444="","",XLOOKUP(E444,'Master Data'!$E$5:$E$15,'Master Data'!$G$5:$G$15,0))</f>
        <v/>
      </c>
      <c r="N444" s="9">
        <f>IF(E444="","",XLOOKUP(E444,'Master Data'!$E$5:$E$15,'Master Data'!$H$5:$H$15,0))</f>
        <v/>
      </c>
      <c r="O444" s="9">
        <f>IF(L444="","",L444-M444-N444)</f>
        <v/>
      </c>
      <c r="S444" s="9" t="n"/>
    </row>
    <row r="445">
      <c r="F445">
        <f>IF(E445="","",XLOOKUP(E445,'Master Data'!$E$5:$E$15,'Master Data'!$F$5:$F$15,""))</f>
        <v/>
      </c>
      <c r="H445" s="9" t="n"/>
      <c r="I445" s="9">
        <f>IF(OR(G445="",H445=""),"",G445*H445)</f>
        <v/>
      </c>
      <c r="J445" s="9" t="n"/>
      <c r="K445" s="9" t="n"/>
      <c r="L445" s="9">
        <f>IF(I445="","",I445-IF(J445="",0,J445)-IF(K445="",0,K445))</f>
        <v/>
      </c>
      <c r="M445" s="9">
        <f>IF(E445="","",XLOOKUP(E445,'Master Data'!$E$5:$E$15,'Master Data'!$G$5:$G$15,0))</f>
        <v/>
      </c>
      <c r="N445" s="9">
        <f>IF(E445="","",XLOOKUP(E445,'Master Data'!$E$5:$E$15,'Master Data'!$H$5:$H$15,0))</f>
        <v/>
      </c>
      <c r="O445" s="9">
        <f>IF(L445="","",L445-M445-N445)</f>
        <v/>
      </c>
      <c r="S445" s="9" t="n"/>
    </row>
    <row r="446">
      <c r="F446">
        <f>IF(E446="","",XLOOKUP(E446,'Master Data'!$E$5:$E$15,'Master Data'!$F$5:$F$15,""))</f>
        <v/>
      </c>
      <c r="H446" s="9" t="n"/>
      <c r="I446" s="9">
        <f>IF(OR(G446="",H446=""),"",G446*H446)</f>
        <v/>
      </c>
      <c r="J446" s="9" t="n"/>
      <c r="K446" s="9" t="n"/>
      <c r="L446" s="9">
        <f>IF(I446="","",I446-IF(J446="",0,J446)-IF(K446="",0,K446))</f>
        <v/>
      </c>
      <c r="M446" s="9">
        <f>IF(E446="","",XLOOKUP(E446,'Master Data'!$E$5:$E$15,'Master Data'!$G$5:$G$15,0))</f>
        <v/>
      </c>
      <c r="N446" s="9">
        <f>IF(E446="","",XLOOKUP(E446,'Master Data'!$E$5:$E$15,'Master Data'!$H$5:$H$15,0))</f>
        <v/>
      </c>
      <c r="O446" s="9">
        <f>IF(L446="","",L446-M446-N446)</f>
        <v/>
      </c>
      <c r="S446" s="9" t="n"/>
    </row>
    <row r="447">
      <c r="F447">
        <f>IF(E447="","",XLOOKUP(E447,'Master Data'!$E$5:$E$15,'Master Data'!$F$5:$F$15,""))</f>
        <v/>
      </c>
      <c r="H447" s="9" t="n"/>
      <c r="I447" s="9">
        <f>IF(OR(G447="",H447=""),"",G447*H447)</f>
        <v/>
      </c>
      <c r="J447" s="9" t="n"/>
      <c r="K447" s="9" t="n"/>
      <c r="L447" s="9">
        <f>IF(I447="","",I447-IF(J447="",0,J447)-IF(K447="",0,K447))</f>
        <v/>
      </c>
      <c r="M447" s="9">
        <f>IF(E447="","",XLOOKUP(E447,'Master Data'!$E$5:$E$15,'Master Data'!$G$5:$G$15,0))</f>
        <v/>
      </c>
      <c r="N447" s="9">
        <f>IF(E447="","",XLOOKUP(E447,'Master Data'!$E$5:$E$15,'Master Data'!$H$5:$H$15,0))</f>
        <v/>
      </c>
      <c r="O447" s="9">
        <f>IF(L447="","",L447-M447-N447)</f>
        <v/>
      </c>
      <c r="S447" s="9" t="n"/>
    </row>
    <row r="448">
      <c r="F448">
        <f>IF(E448="","",XLOOKUP(E448,'Master Data'!$E$5:$E$15,'Master Data'!$F$5:$F$15,""))</f>
        <v/>
      </c>
      <c r="H448" s="9" t="n"/>
      <c r="I448" s="9">
        <f>IF(OR(G448="",H448=""),"",G448*H448)</f>
        <v/>
      </c>
      <c r="J448" s="9" t="n"/>
      <c r="K448" s="9" t="n"/>
      <c r="L448" s="9">
        <f>IF(I448="","",I448-IF(J448="",0,J448)-IF(K448="",0,K448))</f>
        <v/>
      </c>
      <c r="M448" s="9">
        <f>IF(E448="","",XLOOKUP(E448,'Master Data'!$E$5:$E$15,'Master Data'!$G$5:$G$15,0))</f>
        <v/>
      </c>
      <c r="N448" s="9">
        <f>IF(E448="","",XLOOKUP(E448,'Master Data'!$E$5:$E$15,'Master Data'!$H$5:$H$15,0))</f>
        <v/>
      </c>
      <c r="O448" s="9">
        <f>IF(L448="","",L448-M448-N448)</f>
        <v/>
      </c>
      <c r="S448" s="9" t="n"/>
    </row>
    <row r="449">
      <c r="F449">
        <f>IF(E449="","",XLOOKUP(E449,'Master Data'!$E$5:$E$15,'Master Data'!$F$5:$F$15,""))</f>
        <v/>
      </c>
      <c r="H449" s="9" t="n"/>
      <c r="I449" s="9">
        <f>IF(OR(G449="",H449=""),"",G449*H449)</f>
        <v/>
      </c>
      <c r="J449" s="9" t="n"/>
      <c r="K449" s="9" t="n"/>
      <c r="L449" s="9">
        <f>IF(I449="","",I449-IF(J449="",0,J449)-IF(K449="",0,K449))</f>
        <v/>
      </c>
      <c r="M449" s="9">
        <f>IF(E449="","",XLOOKUP(E449,'Master Data'!$E$5:$E$15,'Master Data'!$G$5:$G$15,0))</f>
        <v/>
      </c>
      <c r="N449" s="9">
        <f>IF(E449="","",XLOOKUP(E449,'Master Data'!$E$5:$E$15,'Master Data'!$H$5:$H$15,0))</f>
        <v/>
      </c>
      <c r="O449" s="9">
        <f>IF(L449="","",L449-M449-N449)</f>
        <v/>
      </c>
      <c r="S449" s="9" t="n"/>
    </row>
    <row r="450">
      <c r="F450">
        <f>IF(E450="","",XLOOKUP(E450,'Master Data'!$E$5:$E$15,'Master Data'!$F$5:$F$15,""))</f>
        <v/>
      </c>
      <c r="H450" s="9" t="n"/>
      <c r="I450" s="9">
        <f>IF(OR(G450="",H450=""),"",G450*H450)</f>
        <v/>
      </c>
      <c r="J450" s="9" t="n"/>
      <c r="K450" s="9" t="n"/>
      <c r="L450" s="9">
        <f>IF(I450="","",I450-IF(J450="",0,J450)-IF(K450="",0,K450))</f>
        <v/>
      </c>
      <c r="M450" s="9">
        <f>IF(E450="","",XLOOKUP(E450,'Master Data'!$E$5:$E$15,'Master Data'!$G$5:$G$15,0))</f>
        <v/>
      </c>
      <c r="N450" s="9">
        <f>IF(E450="","",XLOOKUP(E450,'Master Data'!$E$5:$E$15,'Master Data'!$H$5:$H$15,0))</f>
        <v/>
      </c>
      <c r="O450" s="9">
        <f>IF(L450="","",L450-M450-N450)</f>
        <v/>
      </c>
      <c r="S450" s="9" t="n"/>
    </row>
    <row r="451">
      <c r="F451">
        <f>IF(E451="","",XLOOKUP(E451,'Master Data'!$E$5:$E$15,'Master Data'!$F$5:$F$15,""))</f>
        <v/>
      </c>
      <c r="H451" s="9" t="n"/>
      <c r="I451" s="9">
        <f>IF(OR(G451="",H451=""),"",G451*H451)</f>
        <v/>
      </c>
      <c r="J451" s="9" t="n"/>
      <c r="K451" s="9" t="n"/>
      <c r="L451" s="9">
        <f>IF(I451="","",I451-IF(J451="",0,J451)-IF(K451="",0,K451))</f>
        <v/>
      </c>
      <c r="M451" s="9">
        <f>IF(E451="","",XLOOKUP(E451,'Master Data'!$E$5:$E$15,'Master Data'!$G$5:$G$15,0))</f>
        <v/>
      </c>
      <c r="N451" s="9">
        <f>IF(E451="","",XLOOKUP(E451,'Master Data'!$E$5:$E$15,'Master Data'!$H$5:$H$15,0))</f>
        <v/>
      </c>
      <c r="O451" s="9">
        <f>IF(L451="","",L451-M451-N451)</f>
        <v/>
      </c>
      <c r="S451" s="9" t="n"/>
    </row>
    <row r="452">
      <c r="F452">
        <f>IF(E452="","",XLOOKUP(E452,'Master Data'!$E$5:$E$15,'Master Data'!$F$5:$F$15,""))</f>
        <v/>
      </c>
      <c r="H452" s="9" t="n"/>
      <c r="I452" s="9">
        <f>IF(OR(G452="",H452=""),"",G452*H452)</f>
        <v/>
      </c>
      <c r="J452" s="9" t="n"/>
      <c r="K452" s="9" t="n"/>
      <c r="L452" s="9">
        <f>IF(I452="","",I452-IF(J452="",0,J452)-IF(K452="",0,K452))</f>
        <v/>
      </c>
      <c r="M452" s="9">
        <f>IF(E452="","",XLOOKUP(E452,'Master Data'!$E$5:$E$15,'Master Data'!$G$5:$G$15,0))</f>
        <v/>
      </c>
      <c r="N452" s="9">
        <f>IF(E452="","",XLOOKUP(E452,'Master Data'!$E$5:$E$15,'Master Data'!$H$5:$H$15,0))</f>
        <v/>
      </c>
      <c r="O452" s="9">
        <f>IF(L452="","",L452-M452-N452)</f>
        <v/>
      </c>
      <c r="S452" s="9" t="n"/>
    </row>
    <row r="453">
      <c r="F453">
        <f>IF(E453="","",XLOOKUP(E453,'Master Data'!$E$5:$E$15,'Master Data'!$F$5:$F$15,""))</f>
        <v/>
      </c>
      <c r="H453" s="9" t="n"/>
      <c r="I453" s="9">
        <f>IF(OR(G453="",H453=""),"",G453*H453)</f>
        <v/>
      </c>
      <c r="J453" s="9" t="n"/>
      <c r="K453" s="9" t="n"/>
      <c r="L453" s="9">
        <f>IF(I453="","",I453-IF(J453="",0,J453)-IF(K453="",0,K453))</f>
        <v/>
      </c>
      <c r="M453" s="9">
        <f>IF(E453="","",XLOOKUP(E453,'Master Data'!$E$5:$E$15,'Master Data'!$G$5:$G$15,0))</f>
        <v/>
      </c>
      <c r="N453" s="9">
        <f>IF(E453="","",XLOOKUP(E453,'Master Data'!$E$5:$E$15,'Master Data'!$H$5:$H$15,0))</f>
        <v/>
      </c>
      <c r="O453" s="9">
        <f>IF(L453="","",L453-M453-N453)</f>
        <v/>
      </c>
      <c r="S453" s="9" t="n"/>
    </row>
    <row r="454">
      <c r="F454">
        <f>IF(E454="","",XLOOKUP(E454,'Master Data'!$E$5:$E$15,'Master Data'!$F$5:$F$15,""))</f>
        <v/>
      </c>
      <c r="H454" s="9" t="n"/>
      <c r="I454" s="9">
        <f>IF(OR(G454="",H454=""),"",G454*H454)</f>
        <v/>
      </c>
      <c r="J454" s="9" t="n"/>
      <c r="K454" s="9" t="n"/>
      <c r="L454" s="9">
        <f>IF(I454="","",I454-IF(J454="",0,J454)-IF(K454="",0,K454))</f>
        <v/>
      </c>
      <c r="M454" s="9">
        <f>IF(E454="","",XLOOKUP(E454,'Master Data'!$E$5:$E$15,'Master Data'!$G$5:$G$15,0))</f>
        <v/>
      </c>
      <c r="N454" s="9">
        <f>IF(E454="","",XLOOKUP(E454,'Master Data'!$E$5:$E$15,'Master Data'!$H$5:$H$15,0))</f>
        <v/>
      </c>
      <c r="O454" s="9">
        <f>IF(L454="","",L454-M454-N454)</f>
        <v/>
      </c>
      <c r="S454" s="9" t="n"/>
    </row>
    <row r="455">
      <c r="F455">
        <f>IF(E455="","",XLOOKUP(E455,'Master Data'!$E$5:$E$15,'Master Data'!$F$5:$F$15,""))</f>
        <v/>
      </c>
      <c r="H455" s="9" t="n"/>
      <c r="I455" s="9">
        <f>IF(OR(G455="",H455=""),"",G455*H455)</f>
        <v/>
      </c>
      <c r="J455" s="9" t="n"/>
      <c r="K455" s="9" t="n"/>
      <c r="L455" s="9">
        <f>IF(I455="","",I455-IF(J455="",0,J455)-IF(K455="",0,K455))</f>
        <v/>
      </c>
      <c r="M455" s="9">
        <f>IF(E455="","",XLOOKUP(E455,'Master Data'!$E$5:$E$15,'Master Data'!$G$5:$G$15,0))</f>
        <v/>
      </c>
      <c r="N455" s="9">
        <f>IF(E455="","",XLOOKUP(E455,'Master Data'!$E$5:$E$15,'Master Data'!$H$5:$H$15,0))</f>
        <v/>
      </c>
      <c r="O455" s="9">
        <f>IF(L455="","",L455-M455-N455)</f>
        <v/>
      </c>
      <c r="S455" s="9" t="n"/>
    </row>
    <row r="456">
      <c r="F456">
        <f>IF(E456="","",XLOOKUP(E456,'Master Data'!$E$5:$E$15,'Master Data'!$F$5:$F$15,""))</f>
        <v/>
      </c>
      <c r="H456" s="9" t="n"/>
      <c r="I456" s="9">
        <f>IF(OR(G456="",H456=""),"",G456*H456)</f>
        <v/>
      </c>
      <c r="J456" s="9" t="n"/>
      <c r="K456" s="9" t="n"/>
      <c r="L456" s="9">
        <f>IF(I456="","",I456-IF(J456="",0,J456)-IF(K456="",0,K456))</f>
        <v/>
      </c>
      <c r="M456" s="9">
        <f>IF(E456="","",XLOOKUP(E456,'Master Data'!$E$5:$E$15,'Master Data'!$G$5:$G$15,0))</f>
        <v/>
      </c>
      <c r="N456" s="9">
        <f>IF(E456="","",XLOOKUP(E456,'Master Data'!$E$5:$E$15,'Master Data'!$H$5:$H$15,0))</f>
        <v/>
      </c>
      <c r="O456" s="9">
        <f>IF(L456="","",L456-M456-N456)</f>
        <v/>
      </c>
      <c r="S456" s="9" t="n"/>
    </row>
    <row r="457">
      <c r="F457">
        <f>IF(E457="","",XLOOKUP(E457,'Master Data'!$E$5:$E$15,'Master Data'!$F$5:$F$15,""))</f>
        <v/>
      </c>
      <c r="H457" s="9" t="n"/>
      <c r="I457" s="9">
        <f>IF(OR(G457="",H457=""),"",G457*H457)</f>
        <v/>
      </c>
      <c r="J457" s="9" t="n"/>
      <c r="K457" s="9" t="n"/>
      <c r="L457" s="9">
        <f>IF(I457="","",I457-IF(J457="",0,J457)-IF(K457="",0,K457))</f>
        <v/>
      </c>
      <c r="M457" s="9">
        <f>IF(E457="","",XLOOKUP(E457,'Master Data'!$E$5:$E$15,'Master Data'!$G$5:$G$15,0))</f>
        <v/>
      </c>
      <c r="N457" s="9">
        <f>IF(E457="","",XLOOKUP(E457,'Master Data'!$E$5:$E$15,'Master Data'!$H$5:$H$15,0))</f>
        <v/>
      </c>
      <c r="O457" s="9">
        <f>IF(L457="","",L457-M457-N457)</f>
        <v/>
      </c>
      <c r="S457" s="9" t="n"/>
    </row>
    <row r="458">
      <c r="F458">
        <f>IF(E458="","",XLOOKUP(E458,'Master Data'!$E$5:$E$15,'Master Data'!$F$5:$F$15,""))</f>
        <v/>
      </c>
      <c r="H458" s="9" t="n"/>
      <c r="I458" s="9">
        <f>IF(OR(G458="",H458=""),"",G458*H458)</f>
        <v/>
      </c>
      <c r="J458" s="9" t="n"/>
      <c r="K458" s="9" t="n"/>
      <c r="L458" s="9">
        <f>IF(I458="","",I458-IF(J458="",0,J458)-IF(K458="",0,K458))</f>
        <v/>
      </c>
      <c r="M458" s="9">
        <f>IF(E458="","",XLOOKUP(E458,'Master Data'!$E$5:$E$15,'Master Data'!$G$5:$G$15,0))</f>
        <v/>
      </c>
      <c r="N458" s="9">
        <f>IF(E458="","",XLOOKUP(E458,'Master Data'!$E$5:$E$15,'Master Data'!$H$5:$H$15,0))</f>
        <v/>
      </c>
      <c r="O458" s="9">
        <f>IF(L458="","",L458-M458-N458)</f>
        <v/>
      </c>
      <c r="S458" s="9" t="n"/>
    </row>
    <row r="459">
      <c r="F459">
        <f>IF(E459="","",XLOOKUP(E459,'Master Data'!$E$5:$E$15,'Master Data'!$F$5:$F$15,""))</f>
        <v/>
      </c>
      <c r="H459" s="9" t="n"/>
      <c r="I459" s="9">
        <f>IF(OR(G459="",H459=""),"",G459*H459)</f>
        <v/>
      </c>
      <c r="J459" s="9" t="n"/>
      <c r="K459" s="9" t="n"/>
      <c r="L459" s="9">
        <f>IF(I459="","",I459-IF(J459="",0,J459)-IF(K459="",0,K459))</f>
        <v/>
      </c>
      <c r="M459" s="9">
        <f>IF(E459="","",XLOOKUP(E459,'Master Data'!$E$5:$E$15,'Master Data'!$G$5:$G$15,0))</f>
        <v/>
      </c>
      <c r="N459" s="9">
        <f>IF(E459="","",XLOOKUP(E459,'Master Data'!$E$5:$E$15,'Master Data'!$H$5:$H$15,0))</f>
        <v/>
      </c>
      <c r="O459" s="9">
        <f>IF(L459="","",L459-M459-N459)</f>
        <v/>
      </c>
      <c r="S459" s="9" t="n"/>
    </row>
    <row r="460">
      <c r="F460">
        <f>IF(E460="","",XLOOKUP(E460,'Master Data'!$E$5:$E$15,'Master Data'!$F$5:$F$15,""))</f>
        <v/>
      </c>
      <c r="H460" s="9" t="n"/>
      <c r="I460" s="9">
        <f>IF(OR(G460="",H460=""),"",G460*H460)</f>
        <v/>
      </c>
      <c r="J460" s="9" t="n"/>
      <c r="K460" s="9" t="n"/>
      <c r="L460" s="9">
        <f>IF(I460="","",I460-IF(J460="",0,J460)-IF(K460="",0,K460))</f>
        <v/>
      </c>
      <c r="M460" s="9">
        <f>IF(E460="","",XLOOKUP(E460,'Master Data'!$E$5:$E$15,'Master Data'!$G$5:$G$15,0))</f>
        <v/>
      </c>
      <c r="N460" s="9">
        <f>IF(E460="","",XLOOKUP(E460,'Master Data'!$E$5:$E$15,'Master Data'!$H$5:$H$15,0))</f>
        <v/>
      </c>
      <c r="O460" s="9">
        <f>IF(L460="","",L460-M460-N460)</f>
        <v/>
      </c>
      <c r="S460" s="9" t="n"/>
    </row>
    <row r="461">
      <c r="F461">
        <f>IF(E461="","",XLOOKUP(E461,'Master Data'!$E$5:$E$15,'Master Data'!$F$5:$F$15,""))</f>
        <v/>
      </c>
      <c r="H461" s="9" t="n"/>
      <c r="I461" s="9">
        <f>IF(OR(G461="",H461=""),"",G461*H461)</f>
        <v/>
      </c>
      <c r="J461" s="9" t="n"/>
      <c r="K461" s="9" t="n"/>
      <c r="L461" s="9">
        <f>IF(I461="","",I461-IF(J461="",0,J461)-IF(K461="",0,K461))</f>
        <v/>
      </c>
      <c r="M461" s="9">
        <f>IF(E461="","",XLOOKUP(E461,'Master Data'!$E$5:$E$15,'Master Data'!$G$5:$G$15,0))</f>
        <v/>
      </c>
      <c r="N461" s="9">
        <f>IF(E461="","",XLOOKUP(E461,'Master Data'!$E$5:$E$15,'Master Data'!$H$5:$H$15,0))</f>
        <v/>
      </c>
      <c r="O461" s="9">
        <f>IF(L461="","",L461-M461-N461)</f>
        <v/>
      </c>
      <c r="S461" s="9" t="n"/>
    </row>
    <row r="462">
      <c r="F462">
        <f>IF(E462="","",XLOOKUP(E462,'Master Data'!$E$5:$E$15,'Master Data'!$F$5:$F$15,""))</f>
        <v/>
      </c>
      <c r="H462" s="9" t="n"/>
      <c r="I462" s="9">
        <f>IF(OR(G462="",H462=""),"",G462*H462)</f>
        <v/>
      </c>
      <c r="J462" s="9" t="n"/>
      <c r="K462" s="9" t="n"/>
      <c r="L462" s="9">
        <f>IF(I462="","",I462-IF(J462="",0,J462)-IF(K462="",0,K462))</f>
        <v/>
      </c>
      <c r="M462" s="9">
        <f>IF(E462="","",XLOOKUP(E462,'Master Data'!$E$5:$E$15,'Master Data'!$G$5:$G$15,0))</f>
        <v/>
      </c>
      <c r="N462" s="9">
        <f>IF(E462="","",XLOOKUP(E462,'Master Data'!$E$5:$E$15,'Master Data'!$H$5:$H$15,0))</f>
        <v/>
      </c>
      <c r="O462" s="9">
        <f>IF(L462="","",L462-M462-N462)</f>
        <v/>
      </c>
      <c r="S462" s="9" t="n"/>
    </row>
    <row r="463">
      <c r="F463">
        <f>IF(E463="","",XLOOKUP(E463,'Master Data'!$E$5:$E$15,'Master Data'!$F$5:$F$15,""))</f>
        <v/>
      </c>
      <c r="H463" s="9" t="n"/>
      <c r="I463" s="9">
        <f>IF(OR(G463="",H463=""),"",G463*H463)</f>
        <v/>
      </c>
      <c r="J463" s="9" t="n"/>
      <c r="K463" s="9" t="n"/>
      <c r="L463" s="9">
        <f>IF(I463="","",I463-IF(J463="",0,J463)-IF(K463="",0,K463))</f>
        <v/>
      </c>
      <c r="M463" s="9">
        <f>IF(E463="","",XLOOKUP(E463,'Master Data'!$E$5:$E$15,'Master Data'!$G$5:$G$15,0))</f>
        <v/>
      </c>
      <c r="N463" s="9">
        <f>IF(E463="","",XLOOKUP(E463,'Master Data'!$E$5:$E$15,'Master Data'!$H$5:$H$15,0))</f>
        <v/>
      </c>
      <c r="O463" s="9">
        <f>IF(L463="","",L463-M463-N463)</f>
        <v/>
      </c>
      <c r="S463" s="9" t="n"/>
    </row>
    <row r="464">
      <c r="F464">
        <f>IF(E464="","",XLOOKUP(E464,'Master Data'!$E$5:$E$15,'Master Data'!$F$5:$F$15,""))</f>
        <v/>
      </c>
      <c r="H464" s="9" t="n"/>
      <c r="I464" s="9">
        <f>IF(OR(G464="",H464=""),"",G464*H464)</f>
        <v/>
      </c>
      <c r="J464" s="9" t="n"/>
      <c r="K464" s="9" t="n"/>
      <c r="L464" s="9">
        <f>IF(I464="","",I464-IF(J464="",0,J464)-IF(K464="",0,K464))</f>
        <v/>
      </c>
      <c r="M464" s="9">
        <f>IF(E464="","",XLOOKUP(E464,'Master Data'!$E$5:$E$15,'Master Data'!$G$5:$G$15,0))</f>
        <v/>
      </c>
      <c r="N464" s="9">
        <f>IF(E464="","",XLOOKUP(E464,'Master Data'!$E$5:$E$15,'Master Data'!$H$5:$H$15,0))</f>
        <v/>
      </c>
      <c r="O464" s="9">
        <f>IF(L464="","",L464-M464-N464)</f>
        <v/>
      </c>
      <c r="S464" s="9" t="n"/>
    </row>
    <row r="465">
      <c r="F465">
        <f>IF(E465="","",XLOOKUP(E465,'Master Data'!$E$5:$E$15,'Master Data'!$F$5:$F$15,""))</f>
        <v/>
      </c>
      <c r="H465" s="9" t="n"/>
      <c r="I465" s="9">
        <f>IF(OR(G465="",H465=""),"",G465*H465)</f>
        <v/>
      </c>
      <c r="J465" s="9" t="n"/>
      <c r="K465" s="9" t="n"/>
      <c r="L465" s="9">
        <f>IF(I465="","",I465-IF(J465="",0,J465)-IF(K465="",0,K465))</f>
        <v/>
      </c>
      <c r="M465" s="9">
        <f>IF(E465="","",XLOOKUP(E465,'Master Data'!$E$5:$E$15,'Master Data'!$G$5:$G$15,0))</f>
        <v/>
      </c>
      <c r="N465" s="9">
        <f>IF(E465="","",XLOOKUP(E465,'Master Data'!$E$5:$E$15,'Master Data'!$H$5:$H$15,0))</f>
        <v/>
      </c>
      <c r="O465" s="9">
        <f>IF(L465="","",L465-M465-N465)</f>
        <v/>
      </c>
      <c r="S465" s="9" t="n"/>
    </row>
    <row r="466">
      <c r="F466">
        <f>IF(E466="","",XLOOKUP(E466,'Master Data'!$E$5:$E$15,'Master Data'!$F$5:$F$15,""))</f>
        <v/>
      </c>
      <c r="H466" s="9" t="n"/>
      <c r="I466" s="9">
        <f>IF(OR(G466="",H466=""),"",G466*H466)</f>
        <v/>
      </c>
      <c r="J466" s="9" t="n"/>
      <c r="K466" s="9" t="n"/>
      <c r="L466" s="9">
        <f>IF(I466="","",I466-IF(J466="",0,J466)-IF(K466="",0,K466))</f>
        <v/>
      </c>
      <c r="M466" s="9">
        <f>IF(E466="","",XLOOKUP(E466,'Master Data'!$E$5:$E$15,'Master Data'!$G$5:$G$15,0))</f>
        <v/>
      </c>
      <c r="N466" s="9">
        <f>IF(E466="","",XLOOKUP(E466,'Master Data'!$E$5:$E$15,'Master Data'!$H$5:$H$15,0))</f>
        <v/>
      </c>
      <c r="O466" s="9">
        <f>IF(L466="","",L466-M466-N466)</f>
        <v/>
      </c>
      <c r="S466" s="9" t="n"/>
    </row>
    <row r="467">
      <c r="F467">
        <f>IF(E467="","",XLOOKUP(E467,'Master Data'!$E$5:$E$15,'Master Data'!$F$5:$F$15,""))</f>
        <v/>
      </c>
      <c r="H467" s="9" t="n"/>
      <c r="I467" s="9">
        <f>IF(OR(G467="",H467=""),"",G467*H467)</f>
        <v/>
      </c>
      <c r="J467" s="9" t="n"/>
      <c r="K467" s="9" t="n"/>
      <c r="L467" s="9">
        <f>IF(I467="","",I467-IF(J467="",0,J467)-IF(K467="",0,K467))</f>
        <v/>
      </c>
      <c r="M467" s="9">
        <f>IF(E467="","",XLOOKUP(E467,'Master Data'!$E$5:$E$15,'Master Data'!$G$5:$G$15,0))</f>
        <v/>
      </c>
      <c r="N467" s="9">
        <f>IF(E467="","",XLOOKUP(E467,'Master Data'!$E$5:$E$15,'Master Data'!$H$5:$H$15,0))</f>
        <v/>
      </c>
      <c r="O467" s="9">
        <f>IF(L467="","",L467-M467-N467)</f>
        <v/>
      </c>
      <c r="S467" s="9" t="n"/>
    </row>
    <row r="468">
      <c r="F468">
        <f>IF(E468="","",XLOOKUP(E468,'Master Data'!$E$5:$E$15,'Master Data'!$F$5:$F$15,""))</f>
        <v/>
      </c>
      <c r="H468" s="9" t="n"/>
      <c r="I468" s="9">
        <f>IF(OR(G468="",H468=""),"",G468*H468)</f>
        <v/>
      </c>
      <c r="J468" s="9" t="n"/>
      <c r="K468" s="9" t="n"/>
      <c r="L468" s="9">
        <f>IF(I468="","",I468-IF(J468="",0,J468)-IF(K468="",0,K468))</f>
        <v/>
      </c>
      <c r="M468" s="9">
        <f>IF(E468="","",XLOOKUP(E468,'Master Data'!$E$5:$E$15,'Master Data'!$G$5:$G$15,0))</f>
        <v/>
      </c>
      <c r="N468" s="9">
        <f>IF(E468="","",XLOOKUP(E468,'Master Data'!$E$5:$E$15,'Master Data'!$H$5:$H$15,0))</f>
        <v/>
      </c>
      <c r="O468" s="9">
        <f>IF(L468="","",L468-M468-N468)</f>
        <v/>
      </c>
      <c r="S468" s="9" t="n"/>
    </row>
    <row r="469">
      <c r="F469">
        <f>IF(E469="","",XLOOKUP(E469,'Master Data'!$E$5:$E$15,'Master Data'!$F$5:$F$15,""))</f>
        <v/>
      </c>
      <c r="H469" s="9" t="n"/>
      <c r="I469" s="9">
        <f>IF(OR(G469="",H469=""),"",G469*H469)</f>
        <v/>
      </c>
      <c r="J469" s="9" t="n"/>
      <c r="K469" s="9" t="n"/>
      <c r="L469" s="9">
        <f>IF(I469="","",I469-IF(J469="",0,J469)-IF(K469="",0,K469))</f>
        <v/>
      </c>
      <c r="M469" s="9">
        <f>IF(E469="","",XLOOKUP(E469,'Master Data'!$E$5:$E$15,'Master Data'!$G$5:$G$15,0))</f>
        <v/>
      </c>
      <c r="N469" s="9">
        <f>IF(E469="","",XLOOKUP(E469,'Master Data'!$E$5:$E$15,'Master Data'!$H$5:$H$15,0))</f>
        <v/>
      </c>
      <c r="O469" s="9">
        <f>IF(L469="","",L469-M469-N469)</f>
        <v/>
      </c>
      <c r="S469" s="9" t="n"/>
    </row>
    <row r="470">
      <c r="F470">
        <f>IF(E470="","",XLOOKUP(E470,'Master Data'!$E$5:$E$15,'Master Data'!$F$5:$F$15,""))</f>
        <v/>
      </c>
      <c r="H470" s="9" t="n"/>
      <c r="I470" s="9">
        <f>IF(OR(G470="",H470=""),"",G470*H470)</f>
        <v/>
      </c>
      <c r="J470" s="9" t="n"/>
      <c r="K470" s="9" t="n"/>
      <c r="L470" s="9">
        <f>IF(I470="","",I470-IF(J470="",0,J470)-IF(K470="",0,K470))</f>
        <v/>
      </c>
      <c r="M470" s="9">
        <f>IF(E470="","",XLOOKUP(E470,'Master Data'!$E$5:$E$15,'Master Data'!$G$5:$G$15,0))</f>
        <v/>
      </c>
      <c r="N470" s="9">
        <f>IF(E470="","",XLOOKUP(E470,'Master Data'!$E$5:$E$15,'Master Data'!$H$5:$H$15,0))</f>
        <v/>
      </c>
      <c r="O470" s="9">
        <f>IF(L470="","",L470-M470-N470)</f>
        <v/>
      </c>
      <c r="S470" s="9" t="n"/>
    </row>
    <row r="471">
      <c r="F471">
        <f>IF(E471="","",XLOOKUP(E471,'Master Data'!$E$5:$E$15,'Master Data'!$F$5:$F$15,""))</f>
        <v/>
      </c>
      <c r="H471" s="9" t="n"/>
      <c r="I471" s="9">
        <f>IF(OR(G471="",H471=""),"",G471*H471)</f>
        <v/>
      </c>
      <c r="J471" s="9" t="n"/>
      <c r="K471" s="9" t="n"/>
      <c r="L471" s="9">
        <f>IF(I471="","",I471-IF(J471="",0,J471)-IF(K471="",0,K471))</f>
        <v/>
      </c>
      <c r="M471" s="9">
        <f>IF(E471="","",XLOOKUP(E471,'Master Data'!$E$5:$E$15,'Master Data'!$G$5:$G$15,0))</f>
        <v/>
      </c>
      <c r="N471" s="9">
        <f>IF(E471="","",XLOOKUP(E471,'Master Data'!$E$5:$E$15,'Master Data'!$H$5:$H$15,0))</f>
        <v/>
      </c>
      <c r="O471" s="9">
        <f>IF(L471="","",L471-M471-N471)</f>
        <v/>
      </c>
      <c r="S471" s="9" t="n"/>
    </row>
    <row r="472">
      <c r="F472">
        <f>IF(E472="","",XLOOKUP(E472,'Master Data'!$E$5:$E$15,'Master Data'!$F$5:$F$15,""))</f>
        <v/>
      </c>
      <c r="H472" s="9" t="n"/>
      <c r="I472" s="9">
        <f>IF(OR(G472="",H472=""),"",G472*H472)</f>
        <v/>
      </c>
      <c r="J472" s="9" t="n"/>
      <c r="K472" s="9" t="n"/>
      <c r="L472" s="9">
        <f>IF(I472="","",I472-IF(J472="",0,J472)-IF(K472="",0,K472))</f>
        <v/>
      </c>
      <c r="M472" s="9">
        <f>IF(E472="","",XLOOKUP(E472,'Master Data'!$E$5:$E$15,'Master Data'!$G$5:$G$15,0))</f>
        <v/>
      </c>
      <c r="N472" s="9">
        <f>IF(E472="","",XLOOKUP(E472,'Master Data'!$E$5:$E$15,'Master Data'!$H$5:$H$15,0))</f>
        <v/>
      </c>
      <c r="O472" s="9">
        <f>IF(L472="","",L472-M472-N472)</f>
        <v/>
      </c>
      <c r="S472" s="9" t="n"/>
    </row>
    <row r="473">
      <c r="F473">
        <f>IF(E473="","",XLOOKUP(E473,'Master Data'!$E$5:$E$15,'Master Data'!$F$5:$F$15,""))</f>
        <v/>
      </c>
      <c r="H473" s="9" t="n"/>
      <c r="I473" s="9">
        <f>IF(OR(G473="",H473=""),"",G473*H473)</f>
        <v/>
      </c>
      <c r="J473" s="9" t="n"/>
      <c r="K473" s="9" t="n"/>
      <c r="L473" s="9">
        <f>IF(I473="","",I473-IF(J473="",0,J473)-IF(K473="",0,K473))</f>
        <v/>
      </c>
      <c r="M473" s="9">
        <f>IF(E473="","",XLOOKUP(E473,'Master Data'!$E$5:$E$15,'Master Data'!$G$5:$G$15,0))</f>
        <v/>
      </c>
      <c r="N473" s="9">
        <f>IF(E473="","",XLOOKUP(E473,'Master Data'!$E$5:$E$15,'Master Data'!$H$5:$H$15,0))</f>
        <v/>
      </c>
      <c r="O473" s="9">
        <f>IF(L473="","",L473-M473-N473)</f>
        <v/>
      </c>
      <c r="S473" s="9" t="n"/>
    </row>
    <row r="474">
      <c r="F474">
        <f>IF(E474="","",XLOOKUP(E474,'Master Data'!$E$5:$E$15,'Master Data'!$F$5:$F$15,""))</f>
        <v/>
      </c>
      <c r="H474" s="9" t="n"/>
      <c r="I474" s="9">
        <f>IF(OR(G474="",H474=""),"",G474*H474)</f>
        <v/>
      </c>
      <c r="J474" s="9" t="n"/>
      <c r="K474" s="9" t="n"/>
      <c r="L474" s="9">
        <f>IF(I474="","",I474-IF(J474="",0,J474)-IF(K474="",0,K474))</f>
        <v/>
      </c>
      <c r="M474" s="9">
        <f>IF(E474="","",XLOOKUP(E474,'Master Data'!$E$5:$E$15,'Master Data'!$G$5:$G$15,0))</f>
        <v/>
      </c>
      <c r="N474" s="9">
        <f>IF(E474="","",XLOOKUP(E474,'Master Data'!$E$5:$E$15,'Master Data'!$H$5:$H$15,0))</f>
        <v/>
      </c>
      <c r="O474" s="9">
        <f>IF(L474="","",L474-M474-N474)</f>
        <v/>
      </c>
      <c r="S474" s="9" t="n"/>
    </row>
    <row r="475">
      <c r="F475">
        <f>IF(E475="","",XLOOKUP(E475,'Master Data'!$E$5:$E$15,'Master Data'!$F$5:$F$15,""))</f>
        <v/>
      </c>
      <c r="H475" s="9" t="n"/>
      <c r="I475" s="9">
        <f>IF(OR(G475="",H475=""),"",G475*H475)</f>
        <v/>
      </c>
      <c r="J475" s="9" t="n"/>
      <c r="K475" s="9" t="n"/>
      <c r="L475" s="9">
        <f>IF(I475="","",I475-IF(J475="",0,J475)-IF(K475="",0,K475))</f>
        <v/>
      </c>
      <c r="M475" s="9">
        <f>IF(E475="","",XLOOKUP(E475,'Master Data'!$E$5:$E$15,'Master Data'!$G$5:$G$15,0))</f>
        <v/>
      </c>
      <c r="N475" s="9">
        <f>IF(E475="","",XLOOKUP(E475,'Master Data'!$E$5:$E$15,'Master Data'!$H$5:$H$15,0))</f>
        <v/>
      </c>
      <c r="O475" s="9">
        <f>IF(L475="","",L475-M475-N475)</f>
        <v/>
      </c>
      <c r="S475" s="9" t="n"/>
    </row>
    <row r="476">
      <c r="F476">
        <f>IF(E476="","",XLOOKUP(E476,'Master Data'!$E$5:$E$15,'Master Data'!$F$5:$F$15,""))</f>
        <v/>
      </c>
      <c r="H476" s="9" t="n"/>
      <c r="I476" s="9">
        <f>IF(OR(G476="",H476=""),"",G476*H476)</f>
        <v/>
      </c>
      <c r="J476" s="9" t="n"/>
      <c r="K476" s="9" t="n"/>
      <c r="L476" s="9">
        <f>IF(I476="","",I476-IF(J476="",0,J476)-IF(K476="",0,K476))</f>
        <v/>
      </c>
      <c r="M476" s="9">
        <f>IF(E476="","",XLOOKUP(E476,'Master Data'!$E$5:$E$15,'Master Data'!$G$5:$G$15,0))</f>
        <v/>
      </c>
      <c r="N476" s="9">
        <f>IF(E476="","",XLOOKUP(E476,'Master Data'!$E$5:$E$15,'Master Data'!$H$5:$H$15,0))</f>
        <v/>
      </c>
      <c r="O476" s="9">
        <f>IF(L476="","",L476-M476-N476)</f>
        <v/>
      </c>
      <c r="S476" s="9" t="n"/>
    </row>
    <row r="477">
      <c r="F477">
        <f>IF(E477="","",XLOOKUP(E477,'Master Data'!$E$5:$E$15,'Master Data'!$F$5:$F$15,""))</f>
        <v/>
      </c>
      <c r="H477" s="9" t="n"/>
      <c r="I477" s="9">
        <f>IF(OR(G477="",H477=""),"",G477*H477)</f>
        <v/>
      </c>
      <c r="J477" s="9" t="n"/>
      <c r="K477" s="9" t="n"/>
      <c r="L477" s="9">
        <f>IF(I477="","",I477-IF(J477="",0,J477)-IF(K477="",0,K477))</f>
        <v/>
      </c>
      <c r="M477" s="9">
        <f>IF(E477="","",XLOOKUP(E477,'Master Data'!$E$5:$E$15,'Master Data'!$G$5:$G$15,0))</f>
        <v/>
      </c>
      <c r="N477" s="9">
        <f>IF(E477="","",XLOOKUP(E477,'Master Data'!$E$5:$E$15,'Master Data'!$H$5:$H$15,0))</f>
        <v/>
      </c>
      <c r="O477" s="9">
        <f>IF(L477="","",L477-M477-N477)</f>
        <v/>
      </c>
      <c r="S477" s="9" t="n"/>
    </row>
    <row r="478">
      <c r="F478">
        <f>IF(E478="","",XLOOKUP(E478,'Master Data'!$E$5:$E$15,'Master Data'!$F$5:$F$15,""))</f>
        <v/>
      </c>
      <c r="H478" s="9" t="n"/>
      <c r="I478" s="9">
        <f>IF(OR(G478="",H478=""),"",G478*H478)</f>
        <v/>
      </c>
      <c r="J478" s="9" t="n"/>
      <c r="K478" s="9" t="n"/>
      <c r="L478" s="9">
        <f>IF(I478="","",I478-IF(J478="",0,J478)-IF(K478="",0,K478))</f>
        <v/>
      </c>
      <c r="M478" s="9">
        <f>IF(E478="","",XLOOKUP(E478,'Master Data'!$E$5:$E$15,'Master Data'!$G$5:$G$15,0))</f>
        <v/>
      </c>
      <c r="N478" s="9">
        <f>IF(E478="","",XLOOKUP(E478,'Master Data'!$E$5:$E$15,'Master Data'!$H$5:$H$15,0))</f>
        <v/>
      </c>
      <c r="O478" s="9">
        <f>IF(L478="","",L478-M478-N478)</f>
        <v/>
      </c>
      <c r="S478" s="9" t="n"/>
    </row>
    <row r="479">
      <c r="F479">
        <f>IF(E479="","",XLOOKUP(E479,'Master Data'!$E$5:$E$15,'Master Data'!$F$5:$F$15,""))</f>
        <v/>
      </c>
      <c r="H479" s="9" t="n"/>
      <c r="I479" s="9">
        <f>IF(OR(G479="",H479=""),"",G479*H479)</f>
        <v/>
      </c>
      <c r="J479" s="9" t="n"/>
      <c r="K479" s="9" t="n"/>
      <c r="L479" s="9">
        <f>IF(I479="","",I479-IF(J479="",0,J479)-IF(K479="",0,K479))</f>
        <v/>
      </c>
      <c r="M479" s="9">
        <f>IF(E479="","",XLOOKUP(E479,'Master Data'!$E$5:$E$15,'Master Data'!$G$5:$G$15,0))</f>
        <v/>
      </c>
      <c r="N479" s="9">
        <f>IF(E479="","",XLOOKUP(E479,'Master Data'!$E$5:$E$15,'Master Data'!$H$5:$H$15,0))</f>
        <v/>
      </c>
      <c r="O479" s="9">
        <f>IF(L479="","",L479-M479-N479)</f>
        <v/>
      </c>
      <c r="S479" s="9" t="n"/>
    </row>
    <row r="480">
      <c r="F480">
        <f>IF(E480="","",XLOOKUP(E480,'Master Data'!$E$5:$E$15,'Master Data'!$F$5:$F$15,""))</f>
        <v/>
      </c>
      <c r="H480" s="9" t="n"/>
      <c r="I480" s="9">
        <f>IF(OR(G480="",H480=""),"",G480*H480)</f>
        <v/>
      </c>
      <c r="J480" s="9" t="n"/>
      <c r="K480" s="9" t="n"/>
      <c r="L480" s="9">
        <f>IF(I480="","",I480-IF(J480="",0,J480)-IF(K480="",0,K480))</f>
        <v/>
      </c>
      <c r="M480" s="9">
        <f>IF(E480="","",XLOOKUP(E480,'Master Data'!$E$5:$E$15,'Master Data'!$G$5:$G$15,0))</f>
        <v/>
      </c>
      <c r="N480" s="9">
        <f>IF(E480="","",XLOOKUP(E480,'Master Data'!$E$5:$E$15,'Master Data'!$H$5:$H$15,0))</f>
        <v/>
      </c>
      <c r="O480" s="9">
        <f>IF(L480="","",L480-M480-N480)</f>
        <v/>
      </c>
      <c r="S480" s="9" t="n"/>
    </row>
    <row r="481">
      <c r="F481">
        <f>IF(E481="","",XLOOKUP(E481,'Master Data'!$E$5:$E$15,'Master Data'!$F$5:$F$15,""))</f>
        <v/>
      </c>
      <c r="H481" s="9" t="n"/>
      <c r="I481" s="9">
        <f>IF(OR(G481="",H481=""),"",G481*H481)</f>
        <v/>
      </c>
      <c r="J481" s="9" t="n"/>
      <c r="K481" s="9" t="n"/>
      <c r="L481" s="9">
        <f>IF(I481="","",I481-IF(J481="",0,J481)-IF(K481="",0,K481))</f>
        <v/>
      </c>
      <c r="M481" s="9">
        <f>IF(E481="","",XLOOKUP(E481,'Master Data'!$E$5:$E$15,'Master Data'!$G$5:$G$15,0))</f>
        <v/>
      </c>
      <c r="N481" s="9">
        <f>IF(E481="","",XLOOKUP(E481,'Master Data'!$E$5:$E$15,'Master Data'!$H$5:$H$15,0))</f>
        <v/>
      </c>
      <c r="O481" s="9">
        <f>IF(L481="","",L481-M481-N481)</f>
        <v/>
      </c>
      <c r="S481" s="9" t="n"/>
    </row>
    <row r="482">
      <c r="F482">
        <f>IF(E482="","",XLOOKUP(E482,'Master Data'!$E$5:$E$15,'Master Data'!$F$5:$F$15,""))</f>
        <v/>
      </c>
      <c r="H482" s="9" t="n"/>
      <c r="I482" s="9">
        <f>IF(OR(G482="",H482=""),"",G482*H482)</f>
        <v/>
      </c>
      <c r="J482" s="9" t="n"/>
      <c r="K482" s="9" t="n"/>
      <c r="L482" s="9">
        <f>IF(I482="","",I482-IF(J482="",0,J482)-IF(K482="",0,K482))</f>
        <v/>
      </c>
      <c r="M482" s="9">
        <f>IF(E482="","",XLOOKUP(E482,'Master Data'!$E$5:$E$15,'Master Data'!$G$5:$G$15,0))</f>
        <v/>
      </c>
      <c r="N482" s="9">
        <f>IF(E482="","",XLOOKUP(E482,'Master Data'!$E$5:$E$15,'Master Data'!$H$5:$H$15,0))</f>
        <v/>
      </c>
      <c r="O482" s="9">
        <f>IF(L482="","",L482-M482-N482)</f>
        <v/>
      </c>
      <c r="S482" s="9" t="n"/>
    </row>
    <row r="483">
      <c r="F483">
        <f>IF(E483="","",XLOOKUP(E483,'Master Data'!$E$5:$E$15,'Master Data'!$F$5:$F$15,""))</f>
        <v/>
      </c>
      <c r="H483" s="9" t="n"/>
      <c r="I483" s="9">
        <f>IF(OR(G483="",H483=""),"",G483*H483)</f>
        <v/>
      </c>
      <c r="J483" s="9" t="n"/>
      <c r="K483" s="9" t="n"/>
      <c r="L483" s="9">
        <f>IF(I483="","",I483-IF(J483="",0,J483)-IF(K483="",0,K483))</f>
        <v/>
      </c>
      <c r="M483" s="9">
        <f>IF(E483="","",XLOOKUP(E483,'Master Data'!$E$5:$E$15,'Master Data'!$G$5:$G$15,0))</f>
        <v/>
      </c>
      <c r="N483" s="9">
        <f>IF(E483="","",XLOOKUP(E483,'Master Data'!$E$5:$E$15,'Master Data'!$H$5:$H$15,0))</f>
        <v/>
      </c>
      <c r="O483" s="9">
        <f>IF(L483="","",L483-M483-N483)</f>
        <v/>
      </c>
      <c r="S483" s="9" t="n"/>
    </row>
    <row r="484">
      <c r="F484">
        <f>IF(E484="","",XLOOKUP(E484,'Master Data'!$E$5:$E$15,'Master Data'!$F$5:$F$15,""))</f>
        <v/>
      </c>
      <c r="H484" s="9" t="n"/>
      <c r="I484" s="9">
        <f>IF(OR(G484="",H484=""),"",G484*H484)</f>
        <v/>
      </c>
      <c r="J484" s="9" t="n"/>
      <c r="K484" s="9" t="n"/>
      <c r="L484" s="9">
        <f>IF(I484="","",I484-IF(J484="",0,J484)-IF(K484="",0,K484))</f>
        <v/>
      </c>
      <c r="M484" s="9">
        <f>IF(E484="","",XLOOKUP(E484,'Master Data'!$E$5:$E$15,'Master Data'!$G$5:$G$15,0))</f>
        <v/>
      </c>
      <c r="N484" s="9">
        <f>IF(E484="","",XLOOKUP(E484,'Master Data'!$E$5:$E$15,'Master Data'!$H$5:$H$15,0))</f>
        <v/>
      </c>
      <c r="O484" s="9">
        <f>IF(L484="","",L484-M484-N484)</f>
        <v/>
      </c>
      <c r="S484" s="9" t="n"/>
    </row>
    <row r="485">
      <c r="F485">
        <f>IF(E485="","",XLOOKUP(E485,'Master Data'!$E$5:$E$15,'Master Data'!$F$5:$F$15,""))</f>
        <v/>
      </c>
      <c r="H485" s="9" t="n"/>
      <c r="I485" s="9">
        <f>IF(OR(G485="",H485=""),"",G485*H485)</f>
        <v/>
      </c>
      <c r="J485" s="9" t="n"/>
      <c r="K485" s="9" t="n"/>
      <c r="L485" s="9">
        <f>IF(I485="","",I485-IF(J485="",0,J485)-IF(K485="",0,K485))</f>
        <v/>
      </c>
      <c r="M485" s="9">
        <f>IF(E485="","",XLOOKUP(E485,'Master Data'!$E$5:$E$15,'Master Data'!$G$5:$G$15,0))</f>
        <v/>
      </c>
      <c r="N485" s="9">
        <f>IF(E485="","",XLOOKUP(E485,'Master Data'!$E$5:$E$15,'Master Data'!$H$5:$H$15,0))</f>
        <v/>
      </c>
      <c r="O485" s="9">
        <f>IF(L485="","",L485-M485-N485)</f>
        <v/>
      </c>
      <c r="S485" s="9" t="n"/>
    </row>
    <row r="486">
      <c r="F486">
        <f>IF(E486="","",XLOOKUP(E486,'Master Data'!$E$5:$E$15,'Master Data'!$F$5:$F$15,""))</f>
        <v/>
      </c>
      <c r="H486" s="9" t="n"/>
      <c r="I486" s="9">
        <f>IF(OR(G486="",H486=""),"",G486*H486)</f>
        <v/>
      </c>
      <c r="J486" s="9" t="n"/>
      <c r="K486" s="9" t="n"/>
      <c r="L486" s="9">
        <f>IF(I486="","",I486-IF(J486="",0,J486)-IF(K486="",0,K486))</f>
        <v/>
      </c>
      <c r="M486" s="9">
        <f>IF(E486="","",XLOOKUP(E486,'Master Data'!$E$5:$E$15,'Master Data'!$G$5:$G$15,0))</f>
        <v/>
      </c>
      <c r="N486" s="9">
        <f>IF(E486="","",XLOOKUP(E486,'Master Data'!$E$5:$E$15,'Master Data'!$H$5:$H$15,0))</f>
        <v/>
      </c>
      <c r="O486" s="9">
        <f>IF(L486="","",L486-M486-N486)</f>
        <v/>
      </c>
      <c r="S486" s="9" t="n"/>
    </row>
    <row r="487">
      <c r="F487">
        <f>IF(E487="","",XLOOKUP(E487,'Master Data'!$E$5:$E$15,'Master Data'!$F$5:$F$15,""))</f>
        <v/>
      </c>
      <c r="H487" s="9" t="n"/>
      <c r="I487" s="9">
        <f>IF(OR(G487="",H487=""),"",G487*H487)</f>
        <v/>
      </c>
      <c r="J487" s="9" t="n"/>
      <c r="K487" s="9" t="n"/>
      <c r="L487" s="9">
        <f>IF(I487="","",I487-IF(J487="",0,J487)-IF(K487="",0,K487))</f>
        <v/>
      </c>
      <c r="M487" s="9">
        <f>IF(E487="","",XLOOKUP(E487,'Master Data'!$E$5:$E$15,'Master Data'!$G$5:$G$15,0))</f>
        <v/>
      </c>
      <c r="N487" s="9">
        <f>IF(E487="","",XLOOKUP(E487,'Master Data'!$E$5:$E$15,'Master Data'!$H$5:$H$15,0))</f>
        <v/>
      </c>
      <c r="O487" s="9">
        <f>IF(L487="","",L487-M487-N487)</f>
        <v/>
      </c>
      <c r="S487" s="9" t="n"/>
    </row>
    <row r="488">
      <c r="F488">
        <f>IF(E488="","",XLOOKUP(E488,'Master Data'!$E$5:$E$15,'Master Data'!$F$5:$F$15,""))</f>
        <v/>
      </c>
      <c r="H488" s="9" t="n"/>
      <c r="I488" s="9">
        <f>IF(OR(G488="",H488=""),"",G488*H488)</f>
        <v/>
      </c>
      <c r="J488" s="9" t="n"/>
      <c r="K488" s="9" t="n"/>
      <c r="L488" s="9">
        <f>IF(I488="","",I488-IF(J488="",0,J488)-IF(K488="",0,K488))</f>
        <v/>
      </c>
      <c r="M488" s="9">
        <f>IF(E488="","",XLOOKUP(E488,'Master Data'!$E$5:$E$15,'Master Data'!$G$5:$G$15,0))</f>
        <v/>
      </c>
      <c r="N488" s="9">
        <f>IF(E488="","",XLOOKUP(E488,'Master Data'!$E$5:$E$15,'Master Data'!$H$5:$H$15,0))</f>
        <v/>
      </c>
      <c r="O488" s="9">
        <f>IF(L488="","",L488-M488-N488)</f>
        <v/>
      </c>
      <c r="S488" s="9" t="n"/>
    </row>
    <row r="489">
      <c r="F489">
        <f>IF(E489="","",XLOOKUP(E489,'Master Data'!$E$5:$E$15,'Master Data'!$F$5:$F$15,""))</f>
        <v/>
      </c>
      <c r="H489" s="9" t="n"/>
      <c r="I489" s="9">
        <f>IF(OR(G489="",H489=""),"",G489*H489)</f>
        <v/>
      </c>
      <c r="J489" s="9" t="n"/>
      <c r="K489" s="9" t="n"/>
      <c r="L489" s="9">
        <f>IF(I489="","",I489-IF(J489="",0,J489)-IF(K489="",0,K489))</f>
        <v/>
      </c>
      <c r="M489" s="9">
        <f>IF(E489="","",XLOOKUP(E489,'Master Data'!$E$5:$E$15,'Master Data'!$G$5:$G$15,0))</f>
        <v/>
      </c>
      <c r="N489" s="9">
        <f>IF(E489="","",XLOOKUP(E489,'Master Data'!$E$5:$E$15,'Master Data'!$H$5:$H$15,0))</f>
        <v/>
      </c>
      <c r="O489" s="9">
        <f>IF(L489="","",L489-M489-N489)</f>
        <v/>
      </c>
      <c r="S489" s="9" t="n"/>
    </row>
    <row r="490">
      <c r="F490">
        <f>IF(E490="","",XLOOKUP(E490,'Master Data'!$E$5:$E$15,'Master Data'!$F$5:$F$15,""))</f>
        <v/>
      </c>
      <c r="H490" s="9" t="n"/>
      <c r="I490" s="9">
        <f>IF(OR(G490="",H490=""),"",G490*H490)</f>
        <v/>
      </c>
      <c r="J490" s="9" t="n"/>
      <c r="K490" s="9" t="n"/>
      <c r="L490" s="9">
        <f>IF(I490="","",I490-IF(J490="",0,J490)-IF(K490="",0,K490))</f>
        <v/>
      </c>
      <c r="M490" s="9">
        <f>IF(E490="","",XLOOKUP(E490,'Master Data'!$E$5:$E$15,'Master Data'!$G$5:$G$15,0))</f>
        <v/>
      </c>
      <c r="N490" s="9">
        <f>IF(E490="","",XLOOKUP(E490,'Master Data'!$E$5:$E$15,'Master Data'!$H$5:$H$15,0))</f>
        <v/>
      </c>
      <c r="O490" s="9">
        <f>IF(L490="","",L490-M490-N490)</f>
        <v/>
      </c>
      <c r="S490" s="9" t="n"/>
    </row>
    <row r="491">
      <c r="F491">
        <f>IF(E491="","",XLOOKUP(E491,'Master Data'!$E$5:$E$15,'Master Data'!$F$5:$F$15,""))</f>
        <v/>
      </c>
      <c r="H491" s="9" t="n"/>
      <c r="I491" s="9">
        <f>IF(OR(G491="",H491=""),"",G491*H491)</f>
        <v/>
      </c>
      <c r="J491" s="9" t="n"/>
      <c r="K491" s="9" t="n"/>
      <c r="L491" s="9">
        <f>IF(I491="","",I491-IF(J491="",0,J491)-IF(K491="",0,K491))</f>
        <v/>
      </c>
      <c r="M491" s="9">
        <f>IF(E491="","",XLOOKUP(E491,'Master Data'!$E$5:$E$15,'Master Data'!$G$5:$G$15,0))</f>
        <v/>
      </c>
      <c r="N491" s="9">
        <f>IF(E491="","",XLOOKUP(E491,'Master Data'!$E$5:$E$15,'Master Data'!$H$5:$H$15,0))</f>
        <v/>
      </c>
      <c r="O491" s="9">
        <f>IF(L491="","",L491-M491-N491)</f>
        <v/>
      </c>
      <c r="S491" s="9" t="n"/>
    </row>
    <row r="492">
      <c r="F492">
        <f>IF(E492="","",XLOOKUP(E492,'Master Data'!$E$5:$E$15,'Master Data'!$F$5:$F$15,""))</f>
        <v/>
      </c>
      <c r="H492" s="9" t="n"/>
      <c r="I492" s="9">
        <f>IF(OR(G492="",H492=""),"",G492*H492)</f>
        <v/>
      </c>
      <c r="J492" s="9" t="n"/>
      <c r="K492" s="9" t="n"/>
      <c r="L492" s="9">
        <f>IF(I492="","",I492-IF(J492="",0,J492)-IF(K492="",0,K492))</f>
        <v/>
      </c>
      <c r="M492" s="9">
        <f>IF(E492="","",XLOOKUP(E492,'Master Data'!$E$5:$E$15,'Master Data'!$G$5:$G$15,0))</f>
        <v/>
      </c>
      <c r="N492" s="9">
        <f>IF(E492="","",XLOOKUP(E492,'Master Data'!$E$5:$E$15,'Master Data'!$H$5:$H$15,0))</f>
        <v/>
      </c>
      <c r="O492" s="9">
        <f>IF(L492="","",L492-M492-N492)</f>
        <v/>
      </c>
      <c r="S492" s="9" t="n"/>
    </row>
    <row r="493">
      <c r="F493">
        <f>IF(E493="","",XLOOKUP(E493,'Master Data'!$E$5:$E$15,'Master Data'!$F$5:$F$15,""))</f>
        <v/>
      </c>
      <c r="H493" s="9" t="n"/>
      <c r="I493" s="9">
        <f>IF(OR(G493="",H493=""),"",G493*H493)</f>
        <v/>
      </c>
      <c r="J493" s="9" t="n"/>
      <c r="K493" s="9" t="n"/>
      <c r="L493" s="9">
        <f>IF(I493="","",I493-IF(J493="",0,J493)-IF(K493="",0,K493))</f>
        <v/>
      </c>
      <c r="M493" s="9">
        <f>IF(E493="","",XLOOKUP(E493,'Master Data'!$E$5:$E$15,'Master Data'!$G$5:$G$15,0))</f>
        <v/>
      </c>
      <c r="N493" s="9">
        <f>IF(E493="","",XLOOKUP(E493,'Master Data'!$E$5:$E$15,'Master Data'!$H$5:$H$15,0))</f>
        <v/>
      </c>
      <c r="O493" s="9">
        <f>IF(L493="","",L493-M493-N493)</f>
        <v/>
      </c>
      <c r="S493" s="9" t="n"/>
    </row>
    <row r="494">
      <c r="F494">
        <f>IF(E494="","",XLOOKUP(E494,'Master Data'!$E$5:$E$15,'Master Data'!$F$5:$F$15,""))</f>
        <v/>
      </c>
      <c r="H494" s="9" t="n"/>
      <c r="I494" s="9">
        <f>IF(OR(G494="",H494=""),"",G494*H494)</f>
        <v/>
      </c>
      <c r="J494" s="9" t="n"/>
      <c r="K494" s="9" t="n"/>
      <c r="L494" s="9">
        <f>IF(I494="","",I494-IF(J494="",0,J494)-IF(K494="",0,K494))</f>
        <v/>
      </c>
      <c r="M494" s="9">
        <f>IF(E494="","",XLOOKUP(E494,'Master Data'!$E$5:$E$15,'Master Data'!$G$5:$G$15,0))</f>
        <v/>
      </c>
      <c r="N494" s="9">
        <f>IF(E494="","",XLOOKUP(E494,'Master Data'!$E$5:$E$15,'Master Data'!$H$5:$H$15,0))</f>
        <v/>
      </c>
      <c r="O494" s="9">
        <f>IF(L494="","",L494-M494-N494)</f>
        <v/>
      </c>
      <c r="S494" s="9" t="n"/>
    </row>
    <row r="495">
      <c r="F495">
        <f>IF(E495="","",XLOOKUP(E495,'Master Data'!$E$5:$E$15,'Master Data'!$F$5:$F$15,""))</f>
        <v/>
      </c>
      <c r="H495" s="9" t="n"/>
      <c r="I495" s="9">
        <f>IF(OR(G495="",H495=""),"",G495*H495)</f>
        <v/>
      </c>
      <c r="J495" s="9" t="n"/>
      <c r="K495" s="9" t="n"/>
      <c r="L495" s="9">
        <f>IF(I495="","",I495-IF(J495="",0,J495)-IF(K495="",0,K495))</f>
        <v/>
      </c>
      <c r="M495" s="9">
        <f>IF(E495="","",XLOOKUP(E495,'Master Data'!$E$5:$E$15,'Master Data'!$G$5:$G$15,0))</f>
        <v/>
      </c>
      <c r="N495" s="9">
        <f>IF(E495="","",XLOOKUP(E495,'Master Data'!$E$5:$E$15,'Master Data'!$H$5:$H$15,0))</f>
        <v/>
      </c>
      <c r="O495" s="9">
        <f>IF(L495="","",L495-M495-N495)</f>
        <v/>
      </c>
      <c r="S495" s="9" t="n"/>
    </row>
    <row r="496">
      <c r="F496">
        <f>IF(E496="","",XLOOKUP(E496,'Master Data'!$E$5:$E$15,'Master Data'!$F$5:$F$15,""))</f>
        <v/>
      </c>
      <c r="H496" s="9" t="n"/>
      <c r="I496" s="9">
        <f>IF(OR(G496="",H496=""),"",G496*H496)</f>
        <v/>
      </c>
      <c r="J496" s="9" t="n"/>
      <c r="K496" s="9" t="n"/>
      <c r="L496" s="9">
        <f>IF(I496="","",I496-IF(J496="",0,J496)-IF(K496="",0,K496))</f>
        <v/>
      </c>
      <c r="M496" s="9">
        <f>IF(E496="","",XLOOKUP(E496,'Master Data'!$E$5:$E$15,'Master Data'!$G$5:$G$15,0))</f>
        <v/>
      </c>
      <c r="N496" s="9">
        <f>IF(E496="","",XLOOKUP(E496,'Master Data'!$E$5:$E$15,'Master Data'!$H$5:$H$15,0))</f>
        <v/>
      </c>
      <c r="O496" s="9">
        <f>IF(L496="","",L496-M496-N496)</f>
        <v/>
      </c>
      <c r="S496" s="9" t="n"/>
    </row>
    <row r="497">
      <c r="F497">
        <f>IF(E497="","",XLOOKUP(E497,'Master Data'!$E$5:$E$15,'Master Data'!$F$5:$F$15,""))</f>
        <v/>
      </c>
      <c r="H497" s="9" t="n"/>
      <c r="I497" s="9">
        <f>IF(OR(G497="",H497=""),"",G497*H497)</f>
        <v/>
      </c>
      <c r="J497" s="9" t="n"/>
      <c r="K497" s="9" t="n"/>
      <c r="L497" s="9">
        <f>IF(I497="","",I497-IF(J497="",0,J497)-IF(K497="",0,K497))</f>
        <v/>
      </c>
      <c r="M497" s="9">
        <f>IF(E497="","",XLOOKUP(E497,'Master Data'!$E$5:$E$15,'Master Data'!$G$5:$G$15,0))</f>
        <v/>
      </c>
      <c r="N497" s="9">
        <f>IF(E497="","",XLOOKUP(E497,'Master Data'!$E$5:$E$15,'Master Data'!$H$5:$H$15,0))</f>
        <v/>
      </c>
      <c r="O497" s="9">
        <f>IF(L497="","",L497-M497-N497)</f>
        <v/>
      </c>
      <c r="S497" s="9" t="n"/>
    </row>
    <row r="498">
      <c r="F498">
        <f>IF(E498="","",XLOOKUP(E498,'Master Data'!$E$5:$E$15,'Master Data'!$F$5:$F$15,""))</f>
        <v/>
      </c>
      <c r="H498" s="9" t="n"/>
      <c r="I498" s="9">
        <f>IF(OR(G498="",H498=""),"",G498*H498)</f>
        <v/>
      </c>
      <c r="J498" s="9" t="n"/>
      <c r="K498" s="9" t="n"/>
      <c r="L498" s="9">
        <f>IF(I498="","",I498-IF(J498="",0,J498)-IF(K498="",0,K498))</f>
        <v/>
      </c>
      <c r="M498" s="9">
        <f>IF(E498="","",XLOOKUP(E498,'Master Data'!$E$5:$E$15,'Master Data'!$G$5:$G$15,0))</f>
        <v/>
      </c>
      <c r="N498" s="9">
        <f>IF(E498="","",XLOOKUP(E498,'Master Data'!$E$5:$E$15,'Master Data'!$H$5:$H$15,0))</f>
        <v/>
      </c>
      <c r="O498" s="9">
        <f>IF(L498="","",L498-M498-N498)</f>
        <v/>
      </c>
      <c r="S498" s="9" t="n"/>
    </row>
    <row r="499">
      <c r="F499">
        <f>IF(E499="","",XLOOKUP(E499,'Master Data'!$E$5:$E$15,'Master Data'!$F$5:$F$15,""))</f>
        <v/>
      </c>
      <c r="H499" s="9" t="n"/>
      <c r="I499" s="9">
        <f>IF(OR(G499="",H499=""),"",G499*H499)</f>
        <v/>
      </c>
      <c r="J499" s="9" t="n"/>
      <c r="K499" s="9" t="n"/>
      <c r="L499" s="9">
        <f>IF(I499="","",I499-IF(J499="",0,J499)-IF(K499="",0,K499))</f>
        <v/>
      </c>
      <c r="M499" s="9">
        <f>IF(E499="","",XLOOKUP(E499,'Master Data'!$E$5:$E$15,'Master Data'!$G$5:$G$15,0))</f>
        <v/>
      </c>
      <c r="N499" s="9">
        <f>IF(E499="","",XLOOKUP(E499,'Master Data'!$E$5:$E$15,'Master Data'!$H$5:$H$15,0))</f>
        <v/>
      </c>
      <c r="O499" s="9">
        <f>IF(L499="","",L499-M499-N499)</f>
        <v/>
      </c>
      <c r="S499" s="9" t="n"/>
    </row>
    <row r="500">
      <c r="F500">
        <f>IF(E500="","",XLOOKUP(E500,'Master Data'!$E$5:$E$15,'Master Data'!$F$5:$F$15,""))</f>
        <v/>
      </c>
      <c r="H500" s="9" t="n"/>
      <c r="I500" s="9">
        <f>IF(OR(G500="",H500=""),"",G500*H500)</f>
        <v/>
      </c>
      <c r="J500" s="9" t="n"/>
      <c r="K500" s="9" t="n"/>
      <c r="L500" s="9">
        <f>IF(I500="","",I500-IF(J500="",0,J500)-IF(K500="",0,K500))</f>
        <v/>
      </c>
      <c r="M500" s="9">
        <f>IF(E500="","",XLOOKUP(E500,'Master Data'!$E$5:$E$15,'Master Data'!$G$5:$G$15,0))</f>
        <v/>
      </c>
      <c r="N500" s="9">
        <f>IF(E500="","",XLOOKUP(E500,'Master Data'!$E$5:$E$15,'Master Data'!$H$5:$H$15,0))</f>
        <v/>
      </c>
      <c r="O500" s="9">
        <f>IF(L500="","",L500-M500-N500)</f>
        <v/>
      </c>
      <c r="S500" s="9" t="n"/>
    </row>
    <row r="501">
      <c r="F501">
        <f>IF(E501="","",XLOOKUP(E501,'Master Data'!$E$5:$E$15,'Master Data'!$F$5:$F$15,""))</f>
        <v/>
      </c>
      <c r="H501" s="9" t="n"/>
      <c r="I501" s="9">
        <f>IF(OR(G501="",H501=""),"",G501*H501)</f>
        <v/>
      </c>
      <c r="J501" s="9" t="n"/>
      <c r="K501" s="9" t="n"/>
      <c r="L501" s="9">
        <f>IF(I501="","",I501-IF(J501="",0,J501)-IF(K501="",0,K501))</f>
        <v/>
      </c>
      <c r="M501" s="9">
        <f>IF(E501="","",XLOOKUP(E501,'Master Data'!$E$5:$E$15,'Master Data'!$G$5:$G$15,0))</f>
        <v/>
      </c>
      <c r="N501" s="9">
        <f>IF(E501="","",XLOOKUP(E501,'Master Data'!$E$5:$E$15,'Master Data'!$H$5:$H$15,0))</f>
        <v/>
      </c>
      <c r="O501" s="9">
        <f>IF(L501="","",L501-M501-N501)</f>
        <v/>
      </c>
      <c r="S501" s="9" t="n"/>
    </row>
    <row r="502">
      <c r="F502">
        <f>IF(E502="","",XLOOKUP(E502,'Master Data'!$E$5:$E$15,'Master Data'!$F$5:$F$15,""))</f>
        <v/>
      </c>
      <c r="H502" s="9" t="n"/>
      <c r="I502" s="9">
        <f>IF(OR(G502="",H502=""),"",G502*H502)</f>
        <v/>
      </c>
      <c r="J502" s="9" t="n"/>
      <c r="K502" s="9" t="n"/>
      <c r="L502" s="9">
        <f>IF(I502="","",I502-IF(J502="",0,J502)-IF(K502="",0,K502))</f>
        <v/>
      </c>
      <c r="M502" s="9">
        <f>IF(E502="","",XLOOKUP(E502,'Master Data'!$E$5:$E$15,'Master Data'!$G$5:$G$15,0))</f>
        <v/>
      </c>
      <c r="N502" s="9">
        <f>IF(E502="","",XLOOKUP(E502,'Master Data'!$E$5:$E$15,'Master Data'!$H$5:$H$15,0))</f>
        <v/>
      </c>
      <c r="O502" s="9">
        <f>IF(L502="","",L502-M502-N502)</f>
        <v/>
      </c>
      <c r="S502" s="9" t="n"/>
    </row>
    <row r="503">
      <c r="F503">
        <f>IF(E503="","",XLOOKUP(E503,'Master Data'!$E$5:$E$15,'Master Data'!$F$5:$F$15,""))</f>
        <v/>
      </c>
      <c r="H503" s="9" t="n"/>
      <c r="I503" s="9">
        <f>IF(OR(G503="",H503=""),"",G503*H503)</f>
        <v/>
      </c>
      <c r="J503" s="9" t="n"/>
      <c r="K503" s="9" t="n"/>
      <c r="L503" s="9">
        <f>IF(I503="","",I503-IF(J503="",0,J503)-IF(K503="",0,K503))</f>
        <v/>
      </c>
      <c r="M503" s="9">
        <f>IF(E503="","",XLOOKUP(E503,'Master Data'!$E$5:$E$15,'Master Data'!$G$5:$G$15,0))</f>
        <v/>
      </c>
      <c r="N503" s="9">
        <f>IF(E503="","",XLOOKUP(E503,'Master Data'!$E$5:$E$15,'Master Data'!$H$5:$H$15,0))</f>
        <v/>
      </c>
      <c r="O503" s="9">
        <f>IF(L503="","",L503-M503-N503)</f>
        <v/>
      </c>
      <c r="S503" s="9" t="n"/>
    </row>
  </sheetData>
  <mergeCells count="2">
    <mergeCell ref="A1:T1"/>
    <mergeCell ref="A2:T2"/>
  </mergeCells>
  <conditionalFormatting sqref="A4:T503">
    <cfRule type="expression" priority="1" dxfId="0">
      <formula>AND($B4&lt;&gt;"", $P4="", $B4&lt;TODAY()-2)</formula>
    </cfRule>
    <cfRule type="expression" priority="2" dxfId="1">
      <formula>AND($Q4="", $I4&lt;&gt;"")</formula>
    </cfRule>
  </conditionalFormatting>
  <dataValidations count="5">
    <dataValidation sqref="C4:C503" showDropDown="0" showInputMessage="0" showErrorMessage="0" allowBlank="1" errorTitle="Invalid entry" error="Please choose a value from the dropdown list." promptTitle="Dropdown" prompt="Select from list" type="list">
      <formula1>'Master Data'!$A$5:$A$88</formula1>
    </dataValidation>
    <dataValidation sqref="D4:D503" showDropDown="0" showInputMessage="0" showErrorMessage="0" allowBlank="1" errorTitle="Invalid entry" error="Please choose a value from the dropdown list." promptTitle="Dropdown" prompt="Select from list" type="list">
      <formula1>'Master Data'!$C$5:$C$100</formula1>
    </dataValidation>
    <dataValidation sqref="E4:E503" showDropDown="0" showInputMessage="0" showErrorMessage="0" allowBlank="1" errorTitle="Invalid entry" error="Please choose a value from the dropdown list." promptTitle="Dropdown" prompt="Select from list" type="list">
      <formula1>'Master Data'!$E$5:$E$15</formula1>
    </dataValidation>
    <dataValidation sqref="P4:P503" showDropDown="0" showInputMessage="0" showErrorMessage="0" allowBlank="1" errorTitle="Invalid entry" error="Please choose a value from the dropdown list." promptTitle="Dropdown" prompt="Select from list" type="list">
      <formula1>'Master Data'!$L$5:$L$5</formula1>
    </dataValidation>
    <dataValidation sqref="Q4:Q503" showDropDown="0" showInputMessage="0" showErrorMessage="0" allowBlank="1" errorTitle="Invalid entry" error="Please choose a value from the dropdown list." promptTitle="Dropdown" prompt="Select from list" type="list">
      <formula1>'Master Data'!$P$5:$P$15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HARIOM LOGISTICS — OWNER LEDGER</t>
        </is>
      </c>
    </row>
    <row r="2">
      <c r="A2" s="6" t="inlineStr">
        <is>
          <t>Auto-calculated from Trip Log and Payments. Net Due = Balance Payable − Payments Made.</t>
        </is>
      </c>
    </row>
    <row r="4">
      <c r="A4" s="7" t="inlineStr">
        <is>
          <t>Owner Name</t>
        </is>
      </c>
      <c r="B4" s="7" t="inlineStr">
        <is>
          <t>Total Trips</t>
        </is>
      </c>
      <c r="C4" s="7" t="inlineStr">
        <is>
          <t>Total Freight</t>
        </is>
      </c>
      <c r="D4" s="7" t="inlineStr">
        <is>
          <t>Total Commission</t>
        </is>
      </c>
      <c r="E4" s="7" t="inlineStr">
        <is>
          <t>Total Munsiyana</t>
        </is>
      </c>
      <c r="F4" s="7" t="inlineStr">
        <is>
          <t>Balance Payable</t>
        </is>
      </c>
      <c r="G4" s="7" t="inlineStr">
        <is>
          <t>Payments Made</t>
        </is>
      </c>
      <c r="H4" s="7" t="inlineStr">
        <is>
          <t>Net Due</t>
        </is>
      </c>
      <c r="I4" s="7" t="inlineStr">
        <is>
          <t>Trips w/o PAHUNCH</t>
        </is>
      </c>
      <c r="J4" s="7" t="inlineStr">
        <is>
          <t>Unbilled Trips</t>
        </is>
      </c>
    </row>
    <row r="5">
      <c r="A5">
        <f>'Master Data'!J5</f>
        <v/>
      </c>
      <c r="B5">
        <f>IF(A5="","",COUNTIF('Trip Log'!$F$4:$F$502,A5))</f>
        <v/>
      </c>
      <c r="C5" s="9">
        <f>IF(A5="","",SUMIF('Trip Log'!$F$4:$F$502,A5,'Trip Log'!$I$4:$I$502))</f>
        <v/>
      </c>
      <c r="D5" s="9">
        <f>IF(A5="","",SUMIF('Trip Log'!$F$4:$F$502,A5,'Trip Log'!$M$4:$M$502))</f>
        <v/>
      </c>
      <c r="E5" s="9">
        <f>IF(A5="","",SUMIF('Trip Log'!$F$4:$F$502,A5,'Trip Log'!$N$4:$N$502))</f>
        <v/>
      </c>
      <c r="F5" s="9">
        <f>IF(A5="","",SUMIF('Trip Log'!$F$4:$F$502,A5,'Trip Log'!$O$4:$O$502))</f>
        <v/>
      </c>
      <c r="G5" s="9">
        <f>IF(A5="","",SUMIF(Payments!$E$4:$E$203,A5,Payments!$C$4:$C$203))</f>
        <v/>
      </c>
      <c r="H5" s="9">
        <f>IF(A5="","",F5-G5)</f>
        <v/>
      </c>
      <c r="I5">
        <f>IF(A5="","",COUNTIFS('Trip Log'!$F$4:$F$502,A5,'Trip Log'!$P$4:$P$502,""))</f>
        <v/>
      </c>
      <c r="J5">
        <f>IF(A5="","",COUNTIFS('Trip Log'!$F$4:$F$502,A5,'Trip Log'!$Q$4:$Q$502,""))</f>
        <v/>
      </c>
    </row>
    <row r="6">
      <c r="A6">
        <f>'Master Data'!J6</f>
        <v/>
      </c>
      <c r="B6">
        <f>IF(A6="","",COUNTIF('Trip Log'!$F$4:$F$502,A6))</f>
        <v/>
      </c>
      <c r="C6" s="9">
        <f>IF(A6="","",SUMIF('Trip Log'!$F$4:$F$502,A6,'Trip Log'!$I$4:$I$502))</f>
        <v/>
      </c>
      <c r="D6" s="9">
        <f>IF(A6="","",SUMIF('Trip Log'!$F$4:$F$502,A6,'Trip Log'!$M$4:$M$502))</f>
        <v/>
      </c>
      <c r="E6" s="9">
        <f>IF(A6="","",SUMIF('Trip Log'!$F$4:$F$502,A6,'Trip Log'!$N$4:$N$502))</f>
        <v/>
      </c>
      <c r="F6" s="9">
        <f>IF(A6="","",SUMIF('Trip Log'!$F$4:$F$502,A6,'Trip Log'!$O$4:$O$502))</f>
        <v/>
      </c>
      <c r="G6" s="9">
        <f>IF(A6="","",SUMIF(Payments!$E$4:$E$203,A6,Payments!$C$4:$C$203))</f>
        <v/>
      </c>
      <c r="H6" s="9">
        <f>IF(A6="","",F6-G6)</f>
        <v/>
      </c>
      <c r="I6">
        <f>IF(A6="","",COUNTIFS('Trip Log'!$F$4:$F$502,A6,'Trip Log'!$P$4:$P$502,""))</f>
        <v/>
      </c>
      <c r="J6">
        <f>IF(A6="","",COUNTIFS('Trip Log'!$F$4:$F$502,A6,'Trip Log'!$Q$4:$Q$502,""))</f>
        <v/>
      </c>
    </row>
    <row r="7">
      <c r="A7">
        <f>'Master Data'!J7</f>
        <v/>
      </c>
      <c r="B7">
        <f>IF(A7="","",COUNTIF('Trip Log'!$F$4:$F$502,A7))</f>
        <v/>
      </c>
      <c r="C7" s="9">
        <f>IF(A7="","",SUMIF('Trip Log'!$F$4:$F$502,A7,'Trip Log'!$I$4:$I$502))</f>
        <v/>
      </c>
      <c r="D7" s="9">
        <f>IF(A7="","",SUMIF('Trip Log'!$F$4:$F$502,A7,'Trip Log'!$M$4:$M$502))</f>
        <v/>
      </c>
      <c r="E7" s="9">
        <f>IF(A7="","",SUMIF('Trip Log'!$F$4:$F$502,A7,'Trip Log'!$N$4:$N$502))</f>
        <v/>
      </c>
      <c r="F7" s="9">
        <f>IF(A7="","",SUMIF('Trip Log'!$F$4:$F$502,A7,'Trip Log'!$O$4:$O$502))</f>
        <v/>
      </c>
      <c r="G7" s="9">
        <f>IF(A7="","",SUMIF(Payments!$E$4:$E$203,A7,Payments!$C$4:$C$203))</f>
        <v/>
      </c>
      <c r="H7" s="9">
        <f>IF(A7="","",F7-G7)</f>
        <v/>
      </c>
      <c r="I7">
        <f>IF(A7="","",COUNTIFS('Trip Log'!$F$4:$F$502,A7,'Trip Log'!$P$4:$P$502,""))</f>
        <v/>
      </c>
      <c r="J7">
        <f>IF(A7="","",COUNTIFS('Trip Log'!$F$4:$F$502,A7,'Trip Log'!$Q$4:$Q$502,""))</f>
        <v/>
      </c>
    </row>
    <row r="8">
      <c r="A8">
        <f>'Master Data'!J8</f>
        <v/>
      </c>
      <c r="B8">
        <f>IF(A8="","",COUNTIF('Trip Log'!$F$4:$F$502,A8))</f>
        <v/>
      </c>
      <c r="C8" s="9">
        <f>IF(A8="","",SUMIF('Trip Log'!$F$4:$F$502,A8,'Trip Log'!$I$4:$I$502))</f>
        <v/>
      </c>
      <c r="D8" s="9">
        <f>IF(A8="","",SUMIF('Trip Log'!$F$4:$F$502,A8,'Trip Log'!$M$4:$M$502))</f>
        <v/>
      </c>
      <c r="E8" s="9">
        <f>IF(A8="","",SUMIF('Trip Log'!$F$4:$F$502,A8,'Trip Log'!$N$4:$N$502))</f>
        <v/>
      </c>
      <c r="F8" s="9">
        <f>IF(A8="","",SUMIF('Trip Log'!$F$4:$F$502,A8,'Trip Log'!$O$4:$O$502))</f>
        <v/>
      </c>
      <c r="G8" s="9">
        <f>IF(A8="","",SUMIF(Payments!$E$4:$E$203,A8,Payments!$C$4:$C$203))</f>
        <v/>
      </c>
      <c r="H8" s="9">
        <f>IF(A8="","",F8-G8)</f>
        <v/>
      </c>
      <c r="I8">
        <f>IF(A8="","",COUNTIFS('Trip Log'!$F$4:$F$502,A8,'Trip Log'!$P$4:$P$502,""))</f>
        <v/>
      </c>
      <c r="J8">
        <f>IF(A8="","",COUNTIFS('Trip Log'!$F$4:$F$502,A8,'Trip Log'!$Q$4:$Q$502,""))</f>
        <v/>
      </c>
    </row>
    <row r="9">
      <c r="A9">
        <f>'Master Data'!J9</f>
        <v/>
      </c>
      <c r="B9">
        <f>IF(A9="","",COUNTIF('Trip Log'!$F$4:$F$502,A9))</f>
        <v/>
      </c>
      <c r="C9" s="9">
        <f>IF(A9="","",SUMIF('Trip Log'!$F$4:$F$502,A9,'Trip Log'!$I$4:$I$502))</f>
        <v/>
      </c>
      <c r="D9" s="9">
        <f>IF(A9="","",SUMIF('Trip Log'!$F$4:$F$502,A9,'Trip Log'!$M$4:$M$502))</f>
        <v/>
      </c>
      <c r="E9" s="9">
        <f>IF(A9="","",SUMIF('Trip Log'!$F$4:$F$502,A9,'Trip Log'!$N$4:$N$502))</f>
        <v/>
      </c>
      <c r="F9" s="9">
        <f>IF(A9="","",SUMIF('Trip Log'!$F$4:$F$502,A9,'Trip Log'!$O$4:$O$502))</f>
        <v/>
      </c>
      <c r="G9" s="9">
        <f>IF(A9="","",SUMIF(Payments!$E$4:$E$203,A9,Payments!$C$4:$C$203))</f>
        <v/>
      </c>
      <c r="H9" s="9">
        <f>IF(A9="","",F9-G9)</f>
        <v/>
      </c>
      <c r="I9">
        <f>IF(A9="","",COUNTIFS('Trip Log'!$F$4:$F$502,A9,'Trip Log'!$P$4:$P$502,""))</f>
        <v/>
      </c>
      <c r="J9">
        <f>IF(A9="","",COUNTIFS('Trip Log'!$F$4:$F$502,A9,'Trip Log'!$Q$4:$Q$502,""))</f>
        <v/>
      </c>
    </row>
    <row r="10"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GRAND TOTAL</t>
        </is>
      </c>
      <c r="B11" s="10">
        <f>SUM(B5:B9)</f>
        <v/>
      </c>
      <c r="C11" s="11">
        <f>SUM(C5:C9)</f>
        <v/>
      </c>
      <c r="D11" s="11">
        <f>SUM(D5:D9)</f>
        <v/>
      </c>
      <c r="E11" s="11">
        <f>SUM(E5:E9)</f>
        <v/>
      </c>
      <c r="F11" s="11">
        <f>SUM(F5:F9)</f>
        <v/>
      </c>
      <c r="G11" s="11">
        <f>SUM(G5:G9)</f>
        <v/>
      </c>
      <c r="H11" s="11">
        <f>SUM(H5:H9)</f>
        <v/>
      </c>
      <c r="I11" s="10">
        <f>SUM(I5:I9)</f>
        <v/>
      </c>
      <c r="J11" s="10">
        <f>SUM(J5:J9)</f>
        <v/>
      </c>
    </row>
  </sheetData>
  <mergeCells count="2">
    <mergeCell ref="A1:J1"/>
    <mergeCell ref="A2:J2"/>
  </mergeCells>
  <conditionalFormatting sqref="A5:J9">
    <cfRule type="expression" priority="1" dxfId="0">
      <formula>$H5&gt;0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HARIOM LOGISTICS — FREIGHT BILLS (Auto-calculated)</t>
        </is>
      </c>
    </row>
    <row r="2">
      <c r="A2" s="6" t="inlineStr">
        <is>
          <t>Link each bill to a Trip Bill Ref to auto-sum freight from Trip Log. Compare BILL AMOUNT vs Original Amt. while setting up links.</t>
        </is>
      </c>
    </row>
    <row r="4">
      <c r="A4" s="7" t="inlineStr">
        <is>
          <t>DATE</t>
        </is>
      </c>
      <c r="B4" s="7" t="inlineStr">
        <is>
          <t>BILL No.</t>
        </is>
      </c>
      <c r="C4" s="7" t="inlineStr">
        <is>
          <t>Trip Bill Ref</t>
        </is>
      </c>
      <c r="D4" s="7" t="inlineStr">
        <is>
          <t>BILL AMOUNT</t>
        </is>
      </c>
      <c r="E4" s="7" t="inlineStr">
        <is>
          <t>Original Amt.</t>
        </is>
      </c>
      <c r="F4" s="7" t="inlineStr">
        <is>
          <t>Trip Count</t>
        </is>
      </c>
      <c r="G4" s="7" t="inlineStr">
        <is>
          <t>EPOD STATUS</t>
        </is>
      </c>
      <c r="H4" s="7" t="inlineStr">
        <is>
          <t>PENDING Amt.</t>
        </is>
      </c>
      <c r="I4" s="7" t="inlineStr">
        <is>
          <t>PASS Amt.</t>
        </is>
      </c>
      <c r="J4" s="7" t="inlineStr">
        <is>
          <t>Balance Due</t>
        </is>
      </c>
      <c r="K4" s="7" t="inlineStr">
        <is>
          <t>Running Total</t>
        </is>
      </c>
      <c r="L4" s="7" t="inlineStr">
        <is>
          <t>BILL STATUS</t>
        </is>
      </c>
    </row>
    <row r="5">
      <c r="A5" s="8" t="n">
        <v>46181</v>
      </c>
      <c r="B5" t="inlineStr">
        <is>
          <t>HO/JUN/01</t>
        </is>
      </c>
      <c r="C5" t="inlineStr">
        <is>
          <t>1 EPOD</t>
        </is>
      </c>
      <c r="D5" s="9">
        <f>IF(C5="","",SUMIF('Trip Log'!$Q$4:$Q$502,C5,'Trip Log'!$I$4:$I$502))</f>
        <v/>
      </c>
      <c r="E5" s="9" t="n">
        <v>36363</v>
      </c>
      <c r="F5">
        <f>IF(C5="","",COUNTIF('Trip Log'!$Q$4:$Q$502,C5))</f>
        <v/>
      </c>
      <c r="G5" t="inlineStr">
        <is>
          <t>YES</t>
        </is>
      </c>
      <c r="H5" s="9">
        <f>IF(D5="","",D5-IF(I5="",0,I5))</f>
        <v/>
      </c>
      <c r="I5" s="9" t="n"/>
      <c r="J5" s="9">
        <f>IF(H5="","",H5)</f>
        <v/>
      </c>
      <c r="K5" s="9">
        <f>IF(J5="",0,J5)</f>
        <v/>
      </c>
      <c r="L5" t="inlineStr">
        <is>
          <t>PENDING</t>
        </is>
      </c>
    </row>
    <row r="6">
      <c r="A6" s="8" t="n">
        <v>46185</v>
      </c>
      <c r="B6" t="inlineStr">
        <is>
          <t>HO/JUN/02</t>
        </is>
      </c>
      <c r="C6" t="inlineStr">
        <is>
          <t>2 EPOD</t>
        </is>
      </c>
      <c r="D6" s="9">
        <f>IF(C6="","",SUMIF('Trip Log'!$Q$4:$Q$502,C6,'Trip Log'!$I$4:$I$502))</f>
        <v/>
      </c>
      <c r="E6" s="9" t="n">
        <v>61342</v>
      </c>
      <c r="F6">
        <f>IF(C6="","",COUNTIF('Trip Log'!$Q$4:$Q$502,C6))</f>
        <v/>
      </c>
      <c r="G6" t="inlineStr">
        <is>
          <t>YES</t>
        </is>
      </c>
      <c r="H6" s="9">
        <f>IF(D6="","",D6-IF(I6="",0,I6))</f>
        <v/>
      </c>
      <c r="I6" s="9" t="n"/>
      <c r="J6" s="9">
        <f>IF(H6="","",H6)</f>
        <v/>
      </c>
      <c r="K6" s="9">
        <f>IF(J6="","",K5+J6)</f>
        <v/>
      </c>
      <c r="L6" t="inlineStr">
        <is>
          <t>PENDING</t>
        </is>
      </c>
    </row>
    <row r="7">
      <c r="A7" s="8" t="n">
        <v>46189</v>
      </c>
      <c r="B7" t="inlineStr">
        <is>
          <t>HO/JUN/03</t>
        </is>
      </c>
      <c r="C7" t="inlineStr">
        <is>
          <t>3</t>
        </is>
      </c>
      <c r="D7" s="9">
        <f>IF(C7="","",SUMIF('Trip Log'!$Q$4:$Q$502,C7,'Trip Log'!$I$4:$I$502))</f>
        <v/>
      </c>
      <c r="E7" s="9" t="n">
        <v>148316</v>
      </c>
      <c r="F7">
        <f>IF(C7="","",COUNTIF('Trip Log'!$Q$4:$Q$502,C7))</f>
        <v/>
      </c>
      <c r="G7" t="inlineStr">
        <is>
          <t>NO</t>
        </is>
      </c>
      <c r="H7" s="9">
        <f>IF(D7="","",D7-IF(I7="",0,I7))</f>
        <v/>
      </c>
      <c r="I7" s="9" t="n"/>
      <c r="J7" s="9">
        <f>IF(H7="","",H7)</f>
        <v/>
      </c>
      <c r="K7" s="9">
        <f>IF(J7="","",K6+J7)</f>
        <v/>
      </c>
      <c r="L7" t="inlineStr">
        <is>
          <t>PENDING</t>
        </is>
      </c>
    </row>
    <row r="8">
      <c r="A8" s="8" t="n">
        <v>46189</v>
      </c>
      <c r="B8" t="inlineStr">
        <is>
          <t>HO/JUN/04</t>
        </is>
      </c>
      <c r="C8" t="inlineStr">
        <is>
          <t>4 EPOD</t>
        </is>
      </c>
      <c r="D8" s="9">
        <f>IF(C8="","",SUMIF('Trip Log'!$Q$4:$Q$502,C8,'Trip Log'!$I$4:$I$502))</f>
        <v/>
      </c>
      <c r="E8" s="9" t="n">
        <v>123885</v>
      </c>
      <c r="F8">
        <f>IF(C8="","",COUNTIF('Trip Log'!$Q$4:$Q$502,C8))</f>
        <v/>
      </c>
      <c r="G8" t="inlineStr">
        <is>
          <t>YES</t>
        </is>
      </c>
      <c r="H8" s="9">
        <f>IF(D8="","",D8-IF(I8="",0,I8))</f>
        <v/>
      </c>
      <c r="I8" s="9" t="n"/>
      <c r="J8" s="9">
        <f>IF(H8="","",H8)</f>
        <v/>
      </c>
      <c r="K8" s="9">
        <f>IF(J8="","",K7+J8)</f>
        <v/>
      </c>
      <c r="L8" t="inlineStr">
        <is>
          <t>PENDING</t>
        </is>
      </c>
    </row>
    <row r="9">
      <c r="A9" s="8" t="n">
        <v>46189</v>
      </c>
      <c r="B9" t="inlineStr">
        <is>
          <t>HO/JUN/05</t>
        </is>
      </c>
      <c r="C9" t="inlineStr">
        <is>
          <t>5</t>
        </is>
      </c>
      <c r="D9" s="9">
        <f>IF(C9="","",SUMIF('Trip Log'!$Q$4:$Q$502,C9,'Trip Log'!$I$4:$I$502))</f>
        <v/>
      </c>
      <c r="E9" s="9" t="n">
        <v>146784</v>
      </c>
      <c r="F9">
        <f>IF(C9="","",COUNTIF('Trip Log'!$Q$4:$Q$502,C9))</f>
        <v/>
      </c>
      <c r="G9" t="inlineStr">
        <is>
          <t>NO</t>
        </is>
      </c>
      <c r="H9" s="9">
        <f>IF(D9="","",D9-IF(I9="",0,I9))</f>
        <v/>
      </c>
      <c r="I9" s="9" t="n"/>
      <c r="J9" s="9">
        <f>IF(H9="","",H9)</f>
        <v/>
      </c>
      <c r="K9" s="9">
        <f>IF(J9="","",K8+J9)</f>
        <v/>
      </c>
      <c r="L9" t="inlineStr">
        <is>
          <t>PENDING</t>
        </is>
      </c>
    </row>
    <row r="10">
      <c r="A10" s="8" t="n">
        <v>46191</v>
      </c>
      <c r="B10" t="inlineStr">
        <is>
          <t>HO/JUN/06</t>
        </is>
      </c>
      <c r="C10" t="inlineStr">
        <is>
          <t>6</t>
        </is>
      </c>
      <c r="D10" s="9">
        <f>IF(C10="","",SUMIF('Trip Log'!$Q$4:$Q$502,C10,'Trip Log'!$I$4:$I$502))</f>
        <v/>
      </c>
      <c r="E10" s="9" t="n">
        <v>132430</v>
      </c>
      <c r="F10">
        <f>IF(C10="","",COUNTIF('Trip Log'!$Q$4:$Q$502,C10))</f>
        <v/>
      </c>
      <c r="G10" t="inlineStr">
        <is>
          <t>NO</t>
        </is>
      </c>
      <c r="H10" s="9">
        <f>IF(D10="","",D10-IF(I10="",0,I10))</f>
        <v/>
      </c>
      <c r="I10" s="9" t="n"/>
      <c r="J10" s="9">
        <f>IF(H10="","",H10)</f>
        <v/>
      </c>
      <c r="K10" s="9">
        <f>IF(J10="","",K9+J10)</f>
        <v/>
      </c>
      <c r="L10" t="inlineStr">
        <is>
          <t>PENDING</t>
        </is>
      </c>
    </row>
    <row r="11">
      <c r="A11" s="8" t="n">
        <v>46191</v>
      </c>
      <c r="B11" t="inlineStr">
        <is>
          <t>HO/JUN/07</t>
        </is>
      </c>
      <c r="C11" t="inlineStr">
        <is>
          <t>7 EPOD</t>
        </is>
      </c>
      <c r="D11" s="9">
        <f>IF(C11="","",SUMIF('Trip Log'!$Q$4:$Q$502,C11,'Trip Log'!$I$4:$I$502))</f>
        <v/>
      </c>
      <c r="E11" s="9" t="n">
        <v>169377</v>
      </c>
      <c r="F11">
        <f>IF(C11="","",COUNTIF('Trip Log'!$Q$4:$Q$502,C11))</f>
        <v/>
      </c>
      <c r="G11" t="inlineStr">
        <is>
          <t>YES</t>
        </is>
      </c>
      <c r="H11" s="9">
        <f>IF(D11="","",D11-IF(I11="",0,I11))</f>
        <v/>
      </c>
      <c r="I11" s="9" t="n"/>
      <c r="J11" s="9">
        <f>IF(H11="","",H11)</f>
        <v/>
      </c>
      <c r="K11" s="9">
        <f>IF(J11="","",K10+J11)</f>
        <v/>
      </c>
      <c r="L11" t="inlineStr">
        <is>
          <t>PENDING</t>
        </is>
      </c>
    </row>
    <row r="12">
      <c r="A12" s="8" t="n">
        <v>46197</v>
      </c>
      <c r="B12" t="inlineStr">
        <is>
          <t>HO/JUN/08</t>
        </is>
      </c>
      <c r="C12" t="inlineStr">
        <is>
          <t>8 EPOD</t>
        </is>
      </c>
      <c r="D12" s="9">
        <f>IF(C12="","",SUMIF('Trip Log'!$Q$4:$Q$502,C12,'Trip Log'!$I$4:$I$502))</f>
        <v/>
      </c>
      <c r="E12" s="9" t="n">
        <v>126860</v>
      </c>
      <c r="F12">
        <f>IF(C12="","",COUNTIF('Trip Log'!$Q$4:$Q$502,C12))</f>
        <v/>
      </c>
      <c r="G12" t="inlineStr">
        <is>
          <t>YES</t>
        </is>
      </c>
      <c r="H12" s="9">
        <f>IF(D12="","",D12-IF(I12="",0,I12))</f>
        <v/>
      </c>
      <c r="I12" s="9" t="n"/>
      <c r="J12" s="9">
        <f>IF(H12="","",H12)</f>
        <v/>
      </c>
      <c r="K12" s="9">
        <f>IF(J12="","",K11+J12)</f>
        <v/>
      </c>
      <c r="L12" t="inlineStr">
        <is>
          <t>PENDING</t>
        </is>
      </c>
    </row>
    <row r="13">
      <c r="A13" s="8" t="n">
        <v>46197</v>
      </c>
      <c r="B13" t="inlineStr">
        <is>
          <t>HO/JUN/09</t>
        </is>
      </c>
      <c r="C13" t="inlineStr">
        <is>
          <t>9 EPOD</t>
        </is>
      </c>
      <c r="D13" s="9">
        <f>IF(C13="","",SUMIF('Trip Log'!$Q$4:$Q$502,C13,'Trip Log'!$I$4:$I$502))</f>
        <v/>
      </c>
      <c r="E13" s="9" t="n">
        <v>200561</v>
      </c>
      <c r="F13">
        <f>IF(C13="","",COUNTIF('Trip Log'!$Q$4:$Q$502,C13))</f>
        <v/>
      </c>
      <c r="G13" t="inlineStr">
        <is>
          <t>YES</t>
        </is>
      </c>
      <c r="H13" s="9">
        <f>IF(D13="","",D13-IF(I13="",0,I13))</f>
        <v/>
      </c>
      <c r="I13" s="9" t="n"/>
      <c r="J13" s="9">
        <f>IF(H13="","",H13)</f>
        <v/>
      </c>
      <c r="K13" s="9">
        <f>IF(J13="","",K12+J13)</f>
        <v/>
      </c>
      <c r="L13" t="inlineStr">
        <is>
          <t>PENDING</t>
        </is>
      </c>
    </row>
    <row r="14">
      <c r="A14" s="8" t="n">
        <v>46198</v>
      </c>
      <c r="B14" t="inlineStr">
        <is>
          <t>HO/JUN/10</t>
        </is>
      </c>
      <c r="C14" t="inlineStr">
        <is>
          <t>10</t>
        </is>
      </c>
      <c r="D14" s="9">
        <f>IF(C14="","",SUMIF('Trip Log'!$Q$4:$Q$502,C14,'Trip Log'!$I$4:$I$502))</f>
        <v/>
      </c>
      <c r="E14" s="9" t="n">
        <v>87000</v>
      </c>
      <c r="F14">
        <f>IF(C14="","",COUNTIF('Trip Log'!$Q$4:$Q$502,C14))</f>
        <v/>
      </c>
      <c r="G14" t="inlineStr">
        <is>
          <t>NO</t>
        </is>
      </c>
      <c r="H14" s="9">
        <f>IF(D14="","",D14-IF(I14="",0,I14))</f>
        <v/>
      </c>
      <c r="I14" s="9" t="n"/>
      <c r="J14" s="9">
        <f>IF(H14="","",H14)</f>
        <v/>
      </c>
      <c r="K14" s="9">
        <f>IF(J14="","",K13+J14)</f>
        <v/>
      </c>
      <c r="L14" t="inlineStr">
        <is>
          <t>PENDING</t>
        </is>
      </c>
    </row>
    <row r="15">
      <c r="A15" s="8" t="n">
        <v>46198</v>
      </c>
      <c r="B15" t="inlineStr">
        <is>
          <t>HO/JUN/11</t>
        </is>
      </c>
      <c r="C15" t="inlineStr">
        <is>
          <t>11</t>
        </is>
      </c>
      <c r="D15" s="9">
        <f>IF(C15="","",SUMIF('Trip Log'!$Q$4:$Q$502,C15,'Trip Log'!$I$4:$I$502))</f>
        <v/>
      </c>
      <c r="E15" s="9" t="n">
        <v>222436</v>
      </c>
      <c r="F15">
        <f>IF(C15="","",COUNTIF('Trip Log'!$Q$4:$Q$502,C15))</f>
        <v/>
      </c>
      <c r="G15" t="inlineStr">
        <is>
          <t>NO</t>
        </is>
      </c>
      <c r="H15" s="9">
        <f>IF(D15="","",D15-IF(I15="",0,I15))</f>
        <v/>
      </c>
      <c r="I15" s="9" t="n"/>
      <c r="J15" s="9">
        <f>IF(H15="","",H15)</f>
        <v/>
      </c>
      <c r="K15" s="9">
        <f>IF(J15="","",K14+J15)</f>
        <v/>
      </c>
      <c r="L15" t="inlineStr">
        <is>
          <t>PENDING</t>
        </is>
      </c>
    </row>
    <row r="16">
      <c r="D16" s="9">
        <f>IF(C16="","",SUMIF('Trip Log'!$Q$4:$Q$502,C16,'Trip Log'!$I$4:$I$502))</f>
        <v/>
      </c>
      <c r="E16" s="9" t="n"/>
      <c r="F16">
        <f>IF(C16="","",COUNTIF('Trip Log'!$Q$4:$Q$502,C16))</f>
        <v/>
      </c>
      <c r="H16" s="9">
        <f>IF(D16="","",D16-IF(I16="",0,I16))</f>
        <v/>
      </c>
      <c r="I16" s="9" t="n"/>
      <c r="J16" s="9">
        <f>IF(H16="","",H16)</f>
        <v/>
      </c>
      <c r="K16" s="9">
        <f>IF(J16="","",K15+J16)</f>
        <v/>
      </c>
    </row>
    <row r="17">
      <c r="D17" s="9">
        <f>IF(C17="","",SUMIF('Trip Log'!$Q$4:$Q$502,C17,'Trip Log'!$I$4:$I$502))</f>
        <v/>
      </c>
      <c r="E17" s="9" t="n"/>
      <c r="F17">
        <f>IF(C17="","",COUNTIF('Trip Log'!$Q$4:$Q$502,C17))</f>
        <v/>
      </c>
      <c r="H17" s="9">
        <f>IF(D17="","",D17-IF(I17="",0,I17))</f>
        <v/>
      </c>
      <c r="I17" s="9" t="n"/>
      <c r="J17" s="9">
        <f>IF(H17="","",H17)</f>
        <v/>
      </c>
      <c r="K17" s="9">
        <f>IF(J17="","",K16+J17)</f>
        <v/>
      </c>
    </row>
    <row r="18">
      <c r="D18" s="9">
        <f>IF(C18="","",SUMIF('Trip Log'!$Q$4:$Q$502,C18,'Trip Log'!$I$4:$I$502))</f>
        <v/>
      </c>
      <c r="E18" s="9" t="n"/>
      <c r="F18">
        <f>IF(C18="","",COUNTIF('Trip Log'!$Q$4:$Q$502,C18))</f>
        <v/>
      </c>
      <c r="H18" s="9">
        <f>IF(D18="","",D18-IF(I18="",0,I18))</f>
        <v/>
      </c>
      <c r="I18" s="9" t="n"/>
      <c r="J18" s="9">
        <f>IF(H18="","",H18)</f>
        <v/>
      </c>
      <c r="K18" s="9">
        <f>IF(J18="","",K17+J18)</f>
        <v/>
      </c>
    </row>
    <row r="19">
      <c r="D19" s="9">
        <f>IF(C19="","",SUMIF('Trip Log'!$Q$4:$Q$502,C19,'Trip Log'!$I$4:$I$502))</f>
        <v/>
      </c>
      <c r="E19" s="9" t="n"/>
      <c r="F19">
        <f>IF(C19="","",COUNTIF('Trip Log'!$Q$4:$Q$502,C19))</f>
        <v/>
      </c>
      <c r="H19" s="9">
        <f>IF(D19="","",D19-IF(I19="",0,I19))</f>
        <v/>
      </c>
      <c r="I19" s="9" t="n"/>
      <c r="J19" s="9">
        <f>IF(H19="","",H19)</f>
        <v/>
      </c>
      <c r="K19" s="9">
        <f>IF(J19="","",K18+J19)</f>
        <v/>
      </c>
    </row>
    <row r="20">
      <c r="D20" s="9">
        <f>IF(C20="","",SUMIF('Trip Log'!$Q$4:$Q$502,C20,'Trip Log'!$I$4:$I$502))</f>
        <v/>
      </c>
      <c r="E20" s="9" t="n"/>
      <c r="F20">
        <f>IF(C20="","",COUNTIF('Trip Log'!$Q$4:$Q$502,C20))</f>
        <v/>
      </c>
      <c r="H20" s="9">
        <f>IF(D20="","",D20-IF(I20="",0,I20))</f>
        <v/>
      </c>
      <c r="I20" s="9" t="n"/>
      <c r="J20" s="9">
        <f>IF(H20="","",H20)</f>
        <v/>
      </c>
      <c r="K20" s="9">
        <f>IF(J20="","",K19+J20)</f>
        <v/>
      </c>
    </row>
    <row r="21">
      <c r="D21" s="9">
        <f>IF(C21="","",SUMIF('Trip Log'!$Q$4:$Q$502,C21,'Trip Log'!$I$4:$I$502))</f>
        <v/>
      </c>
      <c r="E21" s="9" t="n"/>
      <c r="F21">
        <f>IF(C21="","",COUNTIF('Trip Log'!$Q$4:$Q$502,C21))</f>
        <v/>
      </c>
      <c r="H21" s="9">
        <f>IF(D21="","",D21-IF(I21="",0,I21))</f>
        <v/>
      </c>
      <c r="I21" s="9" t="n"/>
      <c r="J21" s="9">
        <f>IF(H21="","",H21)</f>
        <v/>
      </c>
      <c r="K21" s="9">
        <f>IF(J21="","",K20+J21)</f>
        <v/>
      </c>
    </row>
    <row r="22">
      <c r="D22" s="9">
        <f>IF(C22="","",SUMIF('Trip Log'!$Q$4:$Q$502,C22,'Trip Log'!$I$4:$I$502))</f>
        <v/>
      </c>
      <c r="E22" s="9" t="n"/>
      <c r="F22">
        <f>IF(C22="","",COUNTIF('Trip Log'!$Q$4:$Q$502,C22))</f>
        <v/>
      </c>
      <c r="H22" s="9">
        <f>IF(D22="","",D22-IF(I22="",0,I22))</f>
        <v/>
      </c>
      <c r="I22" s="9" t="n"/>
      <c r="J22" s="9">
        <f>IF(H22="","",H22)</f>
        <v/>
      </c>
      <c r="K22" s="9">
        <f>IF(J22="","",K21+J22)</f>
        <v/>
      </c>
    </row>
    <row r="23">
      <c r="D23" s="9">
        <f>IF(C23="","",SUMIF('Trip Log'!$Q$4:$Q$502,C23,'Trip Log'!$I$4:$I$502))</f>
        <v/>
      </c>
      <c r="E23" s="9" t="n"/>
      <c r="F23">
        <f>IF(C23="","",COUNTIF('Trip Log'!$Q$4:$Q$502,C23))</f>
        <v/>
      </c>
      <c r="H23" s="9">
        <f>IF(D23="","",D23-IF(I23="",0,I23))</f>
        <v/>
      </c>
      <c r="I23" s="9" t="n"/>
      <c r="J23" s="9">
        <f>IF(H23="","",H23)</f>
        <v/>
      </c>
      <c r="K23" s="9">
        <f>IF(J23="","",K22+J23)</f>
        <v/>
      </c>
    </row>
    <row r="24">
      <c r="D24" s="9">
        <f>IF(C24="","",SUMIF('Trip Log'!$Q$4:$Q$502,C24,'Trip Log'!$I$4:$I$502))</f>
        <v/>
      </c>
      <c r="E24" s="9" t="n"/>
      <c r="F24">
        <f>IF(C24="","",COUNTIF('Trip Log'!$Q$4:$Q$502,C24))</f>
        <v/>
      </c>
      <c r="H24" s="9">
        <f>IF(D24="","",D24-IF(I24="",0,I24))</f>
        <v/>
      </c>
      <c r="I24" s="9" t="n"/>
      <c r="J24" s="9">
        <f>IF(H24="","",H24)</f>
        <v/>
      </c>
      <c r="K24" s="9">
        <f>IF(J24="","",K23+J24)</f>
        <v/>
      </c>
    </row>
    <row r="25">
      <c r="D25" s="9">
        <f>IF(C25="","",SUMIF('Trip Log'!$Q$4:$Q$502,C25,'Trip Log'!$I$4:$I$502))</f>
        <v/>
      </c>
      <c r="E25" s="9" t="n"/>
      <c r="F25">
        <f>IF(C25="","",COUNTIF('Trip Log'!$Q$4:$Q$502,C25))</f>
        <v/>
      </c>
      <c r="H25" s="9">
        <f>IF(D25="","",D25-IF(I25="",0,I25))</f>
        <v/>
      </c>
      <c r="I25" s="9" t="n"/>
      <c r="J25" s="9">
        <f>IF(H25="","",H25)</f>
        <v/>
      </c>
      <c r="K25" s="9">
        <f>IF(J25="","",K24+J25)</f>
        <v/>
      </c>
    </row>
    <row r="26">
      <c r="D26" s="9">
        <f>IF(C26="","",SUMIF('Trip Log'!$Q$4:$Q$502,C26,'Trip Log'!$I$4:$I$502))</f>
        <v/>
      </c>
      <c r="E26" s="9" t="n"/>
      <c r="F26">
        <f>IF(C26="","",COUNTIF('Trip Log'!$Q$4:$Q$502,C26))</f>
        <v/>
      </c>
      <c r="H26" s="9">
        <f>IF(D26="","",D26-IF(I26="",0,I26))</f>
        <v/>
      </c>
      <c r="I26" s="9" t="n"/>
      <c r="J26" s="9">
        <f>IF(H26="","",H26)</f>
        <v/>
      </c>
      <c r="K26" s="9">
        <f>IF(J26="","",K25+J26)</f>
        <v/>
      </c>
    </row>
    <row r="27">
      <c r="D27" s="9">
        <f>IF(C27="","",SUMIF('Trip Log'!$Q$4:$Q$502,C27,'Trip Log'!$I$4:$I$502))</f>
        <v/>
      </c>
      <c r="E27" s="9" t="n"/>
      <c r="F27">
        <f>IF(C27="","",COUNTIF('Trip Log'!$Q$4:$Q$502,C27))</f>
        <v/>
      </c>
      <c r="H27" s="9">
        <f>IF(D27="","",D27-IF(I27="",0,I27))</f>
        <v/>
      </c>
      <c r="I27" s="9" t="n"/>
      <c r="J27" s="9">
        <f>IF(H27="","",H27)</f>
        <v/>
      </c>
      <c r="K27" s="9">
        <f>IF(J27="","",K26+J27)</f>
        <v/>
      </c>
    </row>
    <row r="28">
      <c r="D28" s="9">
        <f>IF(C28="","",SUMIF('Trip Log'!$Q$4:$Q$502,C28,'Trip Log'!$I$4:$I$502))</f>
        <v/>
      </c>
      <c r="E28" s="9" t="n"/>
      <c r="F28">
        <f>IF(C28="","",COUNTIF('Trip Log'!$Q$4:$Q$502,C28))</f>
        <v/>
      </c>
      <c r="H28" s="9">
        <f>IF(D28="","",D28-IF(I28="",0,I28))</f>
        <v/>
      </c>
      <c r="I28" s="9" t="n"/>
      <c r="J28" s="9">
        <f>IF(H28="","",H28)</f>
        <v/>
      </c>
      <c r="K28" s="9">
        <f>IF(J28="","",K27+J28)</f>
        <v/>
      </c>
    </row>
    <row r="29">
      <c r="D29" s="9">
        <f>IF(C29="","",SUMIF('Trip Log'!$Q$4:$Q$502,C29,'Trip Log'!$I$4:$I$502))</f>
        <v/>
      </c>
      <c r="E29" s="9" t="n"/>
      <c r="F29">
        <f>IF(C29="","",COUNTIF('Trip Log'!$Q$4:$Q$502,C29))</f>
        <v/>
      </c>
      <c r="H29" s="9">
        <f>IF(D29="","",D29-IF(I29="",0,I29))</f>
        <v/>
      </c>
      <c r="I29" s="9" t="n"/>
      <c r="J29" s="9">
        <f>IF(H29="","",H29)</f>
        <v/>
      </c>
      <c r="K29" s="9">
        <f>IF(J29="","",K28+J29)</f>
        <v/>
      </c>
    </row>
    <row r="30">
      <c r="D30" s="9">
        <f>IF(C30="","",SUMIF('Trip Log'!$Q$4:$Q$502,C30,'Trip Log'!$I$4:$I$502))</f>
        <v/>
      </c>
      <c r="E30" s="9" t="n"/>
      <c r="F30">
        <f>IF(C30="","",COUNTIF('Trip Log'!$Q$4:$Q$502,C30))</f>
        <v/>
      </c>
      <c r="H30" s="9">
        <f>IF(D30="","",D30-IF(I30="",0,I30))</f>
        <v/>
      </c>
      <c r="I30" s="9" t="n"/>
      <c r="J30" s="9">
        <f>IF(H30="","",H30)</f>
        <v/>
      </c>
      <c r="K30" s="9">
        <f>IF(J30="","",K29+J30)</f>
        <v/>
      </c>
    </row>
    <row r="31">
      <c r="D31" s="9">
        <f>IF(C31="","",SUMIF('Trip Log'!$Q$4:$Q$502,C31,'Trip Log'!$I$4:$I$502))</f>
        <v/>
      </c>
      <c r="E31" s="9" t="n"/>
      <c r="F31">
        <f>IF(C31="","",COUNTIF('Trip Log'!$Q$4:$Q$502,C31))</f>
        <v/>
      </c>
      <c r="H31" s="9">
        <f>IF(D31="","",D31-IF(I31="",0,I31))</f>
        <v/>
      </c>
      <c r="I31" s="9" t="n"/>
      <c r="J31" s="9">
        <f>IF(H31="","",H31)</f>
        <v/>
      </c>
      <c r="K31" s="9">
        <f>IF(J31="","",K30+J31)</f>
        <v/>
      </c>
    </row>
    <row r="32">
      <c r="D32" s="9">
        <f>IF(C32="","",SUMIF('Trip Log'!$Q$4:$Q$502,C32,'Trip Log'!$I$4:$I$502))</f>
        <v/>
      </c>
      <c r="E32" s="9" t="n"/>
      <c r="F32">
        <f>IF(C32="","",COUNTIF('Trip Log'!$Q$4:$Q$502,C32))</f>
        <v/>
      </c>
      <c r="H32" s="9">
        <f>IF(D32="","",D32-IF(I32="",0,I32))</f>
        <v/>
      </c>
      <c r="I32" s="9" t="n"/>
      <c r="J32" s="9">
        <f>IF(H32="","",H32)</f>
        <v/>
      </c>
      <c r="K32" s="9">
        <f>IF(J32="","",K31+J32)</f>
        <v/>
      </c>
    </row>
    <row r="33">
      <c r="D33" s="9">
        <f>IF(C33="","",SUMIF('Trip Log'!$Q$4:$Q$502,C33,'Trip Log'!$I$4:$I$502))</f>
        <v/>
      </c>
      <c r="E33" s="9" t="n"/>
      <c r="F33">
        <f>IF(C33="","",COUNTIF('Trip Log'!$Q$4:$Q$502,C33))</f>
        <v/>
      </c>
      <c r="H33" s="9">
        <f>IF(D33="","",D33-IF(I33="",0,I33))</f>
        <v/>
      </c>
      <c r="I33" s="9" t="n"/>
      <c r="J33" s="9">
        <f>IF(H33="","",H33)</f>
        <v/>
      </c>
      <c r="K33" s="9">
        <f>IF(J33="","",K32+J33)</f>
        <v/>
      </c>
    </row>
    <row r="34">
      <c r="D34" s="9">
        <f>IF(C34="","",SUMIF('Trip Log'!$Q$4:$Q$502,C34,'Trip Log'!$I$4:$I$502))</f>
        <v/>
      </c>
      <c r="E34" s="9" t="n"/>
      <c r="F34">
        <f>IF(C34="","",COUNTIF('Trip Log'!$Q$4:$Q$502,C34))</f>
        <v/>
      </c>
      <c r="H34" s="9">
        <f>IF(D34="","",D34-IF(I34="",0,I34))</f>
        <v/>
      </c>
      <c r="I34" s="9" t="n"/>
      <c r="J34" s="9">
        <f>IF(H34="","",H34)</f>
        <v/>
      </c>
      <c r="K34" s="9">
        <f>IF(J34="","",K33+J34)</f>
        <v/>
      </c>
    </row>
    <row r="37">
      <c r="A37" s="2" t="inlineStr">
        <is>
          <t>TOTAL OUTSTANDING</t>
        </is>
      </c>
      <c r="J37" s="11">
        <f>SUM(J5:J34)</f>
        <v/>
      </c>
    </row>
    <row r="39">
      <c r="A39" s="12" t="inlineStr">
        <is>
          <t>Original Manual Bill Total (for reference)</t>
        </is>
      </c>
      <c r="E39" s="9" t="n">
        <v>1455354</v>
      </c>
    </row>
  </sheetData>
  <mergeCells count="2">
    <mergeCell ref="A2:L2"/>
    <mergeCell ref="A1:L1"/>
  </mergeCells>
  <dataValidations count="3">
    <dataValidation sqref="C5:C34" showDropDown="0" showInputMessage="0" showErrorMessage="0" allowBlank="1" errorTitle="Invalid entry" error="Please choose a value from the dropdown list." promptTitle="Dropdown" prompt="Select from list" type="list">
      <formula1>'Master Data'!$P$5:$P$15</formula1>
    </dataValidation>
    <dataValidation sqref="G5:G34" showDropDown="0" showInputMessage="0" showErrorMessage="0" allowBlank="1" errorTitle="Invalid entry" error="Please choose a value from the dropdown list." promptTitle="Dropdown" prompt="Select from list" type="list">
      <formula1>'Master Data'!$M$5:$M$6</formula1>
    </dataValidation>
    <dataValidation sqref="L5:L34" showDropDown="0" showInputMessage="0" showErrorMessage="0" allowBlank="1" errorTitle="Invalid entry" error="Please choose a value from the dropdown list." promptTitle="Dropdown" prompt="Select from list" type="list">
      <formula1>'Master Data'!$N$5:$N$7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14" customWidth="1" min="5" max="5"/>
    <col width="36" customWidth="1" min="6" max="6"/>
  </cols>
  <sheetData>
    <row r="1">
      <c r="A1" s="1" t="inlineStr">
        <is>
          <t>HARIOM LOGISTICS — PAYMENTS</t>
        </is>
      </c>
    </row>
    <row r="2">
      <c r="A2" s="6" t="inlineStr">
        <is>
          <t>Record payments to truck owners. Select Owner from dropdown to auto-update Owner Ledger.</t>
        </is>
      </c>
    </row>
    <row r="3">
      <c r="A3" s="7" t="inlineStr">
        <is>
          <t>SL. NO.</t>
        </is>
      </c>
      <c r="B3" s="7" t="inlineStr">
        <is>
          <t>Date</t>
        </is>
      </c>
      <c r="C3" s="7" t="inlineStr">
        <is>
          <t>Paid Amount</t>
        </is>
      </c>
      <c r="D3" s="7" t="inlineStr">
        <is>
          <t>Paid To (Name)</t>
        </is>
      </c>
      <c r="E3" s="7" t="inlineStr">
        <is>
          <t>Owner</t>
        </is>
      </c>
      <c r="F3" s="7" t="inlineStr">
        <is>
          <t>Particulars</t>
        </is>
      </c>
    </row>
    <row r="4">
      <c r="A4" t="n">
        <v>1</v>
      </c>
      <c r="C4" s="9" t="n">
        <v>5000</v>
      </c>
      <c r="D4" t="inlineStr">
        <is>
          <t>RAKESH CHANDRA JI</t>
        </is>
      </c>
      <c r="F4" t="inlineStr">
        <is>
          <t>TRF BY PAPPU CHACHA</t>
        </is>
      </c>
    </row>
    <row r="5">
      <c r="A5" t="n">
        <v>2</v>
      </c>
      <c r="C5" s="9" t="n">
        <v>5000</v>
      </c>
      <c r="D5" t="inlineStr">
        <is>
          <t>RAKESH CHANDRA JI</t>
        </is>
      </c>
      <c r="F5" t="inlineStr">
        <is>
          <t>TRF BY PAPPU CHACHA</t>
        </is>
      </c>
    </row>
    <row r="6">
      <c r="A6" t="n">
        <v>3</v>
      </c>
      <c r="B6" s="8" t="n">
        <v>46196</v>
      </c>
      <c r="C6" s="9" t="n">
        <v>40000</v>
      </c>
      <c r="D6" t="inlineStr">
        <is>
          <t>ABDUL MALIK JI</t>
        </is>
      </c>
      <c r="E6" t="inlineStr">
        <is>
          <t>VINEET</t>
        </is>
      </c>
      <c r="F6" t="inlineStr">
        <is>
          <t>A/C TRF FROM A/C 9391 BY VINEET</t>
        </is>
      </c>
    </row>
    <row r="7">
      <c r="A7" t="n">
        <v>4</v>
      </c>
      <c r="B7" s="8" t="n">
        <v>46196</v>
      </c>
      <c r="C7" s="9" t="n">
        <v>4000</v>
      </c>
      <c r="D7" t="inlineStr">
        <is>
          <t>RAKESH CHANDRA JI</t>
        </is>
      </c>
      <c r="F7" t="inlineStr">
        <is>
          <t>TRF BY PAPPU CHACHA</t>
        </is>
      </c>
    </row>
    <row r="8">
      <c r="A8" t="n">
        <v>5</v>
      </c>
      <c r="C8" s="9" t="n">
        <v>15000</v>
      </c>
      <c r="D8" t="inlineStr">
        <is>
          <t>SHELANDRA</t>
        </is>
      </c>
      <c r="F8" t="inlineStr">
        <is>
          <t>0919 GPAY TO A/C SONI SHARMA</t>
        </is>
      </c>
    </row>
    <row r="9">
      <c r="B9" s="8" t="n">
        <v>46192</v>
      </c>
      <c r="C9" s="9" t="n">
        <v>5000</v>
      </c>
      <c r="D9" t="inlineStr">
        <is>
          <t>BABU BHAI</t>
        </is>
      </c>
      <c r="F9" t="inlineStr">
        <is>
          <t>GPAY BY PAPPU CHACHA</t>
        </is>
      </c>
    </row>
    <row r="10">
      <c r="C10" s="9" t="n"/>
    </row>
    <row r="11">
      <c r="C11" s="9" t="n"/>
    </row>
    <row r="12">
      <c r="C12" s="9" t="n"/>
    </row>
    <row r="13">
      <c r="C13" s="9" t="n"/>
    </row>
    <row r="14">
      <c r="C14" s="9" t="n"/>
    </row>
    <row r="15">
      <c r="C15" s="9" t="n"/>
    </row>
    <row r="16">
      <c r="C16" s="9" t="n"/>
    </row>
    <row r="17">
      <c r="C17" s="9" t="n"/>
    </row>
    <row r="18">
      <c r="C18" s="9" t="n"/>
    </row>
    <row r="19">
      <c r="C19" s="9" t="n"/>
    </row>
    <row r="20">
      <c r="C20" s="9" t="n"/>
    </row>
    <row r="21">
      <c r="C21" s="9" t="n"/>
    </row>
    <row r="22">
      <c r="C22" s="9" t="n"/>
    </row>
    <row r="23">
      <c r="C23" s="9" t="n"/>
    </row>
    <row r="24">
      <c r="C24" s="9" t="n"/>
    </row>
    <row r="25">
      <c r="C25" s="9" t="n"/>
    </row>
    <row r="26">
      <c r="C26" s="9" t="n"/>
    </row>
    <row r="27">
      <c r="C27" s="9" t="n"/>
    </row>
    <row r="28">
      <c r="C28" s="9" t="n"/>
    </row>
    <row r="29">
      <c r="C29" s="9" t="n"/>
    </row>
    <row r="30">
      <c r="C30" s="9" t="n"/>
    </row>
    <row r="31">
      <c r="C31" s="9" t="n"/>
    </row>
    <row r="32">
      <c r="C32" s="9" t="n"/>
    </row>
    <row r="33">
      <c r="C33" s="9" t="n"/>
    </row>
    <row r="34">
      <c r="C34" s="9" t="n"/>
    </row>
    <row r="35">
      <c r="C35" s="9" t="n"/>
    </row>
    <row r="36">
      <c r="C36" s="9" t="n"/>
    </row>
    <row r="37">
      <c r="C37" s="9" t="n"/>
    </row>
    <row r="38">
      <c r="C38" s="9" t="n"/>
    </row>
    <row r="39">
      <c r="C39" s="9" t="n"/>
    </row>
    <row r="40">
      <c r="C40" s="9" t="n"/>
    </row>
    <row r="41">
      <c r="C41" s="9" t="n"/>
    </row>
    <row r="42">
      <c r="C42" s="9" t="n"/>
    </row>
    <row r="43">
      <c r="C43" s="9" t="n"/>
    </row>
    <row r="44">
      <c r="C44" s="9" t="n"/>
    </row>
    <row r="45">
      <c r="C45" s="9" t="n"/>
    </row>
    <row r="46">
      <c r="C46" s="9" t="n"/>
    </row>
    <row r="47">
      <c r="C47" s="9" t="n"/>
    </row>
    <row r="48">
      <c r="C48" s="9" t="n"/>
    </row>
    <row r="49">
      <c r="C49" s="9" t="n"/>
    </row>
    <row r="50">
      <c r="C50" s="9" t="n"/>
    </row>
    <row r="51">
      <c r="C51" s="9" t="n"/>
    </row>
    <row r="52">
      <c r="C52" s="9" t="n"/>
    </row>
    <row r="53">
      <c r="C53" s="9" t="n"/>
    </row>
    <row r="54">
      <c r="C54" s="9" t="n"/>
    </row>
    <row r="55">
      <c r="C55" s="9" t="n"/>
    </row>
    <row r="56">
      <c r="C56" s="9" t="n"/>
    </row>
    <row r="57">
      <c r="C57" s="9" t="n"/>
    </row>
    <row r="58">
      <c r="C58" s="9" t="n"/>
    </row>
    <row r="59">
      <c r="C59" s="9" t="n"/>
    </row>
    <row r="60">
      <c r="C60" s="9" t="n"/>
    </row>
    <row r="61">
      <c r="C61" s="9" t="n"/>
    </row>
    <row r="62">
      <c r="C62" s="9" t="n"/>
    </row>
    <row r="63">
      <c r="C63" s="9" t="n"/>
    </row>
    <row r="64">
      <c r="C64" s="9" t="n"/>
    </row>
    <row r="65">
      <c r="C65" s="9" t="n"/>
    </row>
    <row r="66">
      <c r="C66" s="9" t="n"/>
    </row>
    <row r="67">
      <c r="C67" s="9" t="n"/>
    </row>
    <row r="68">
      <c r="C68" s="9" t="n"/>
    </row>
    <row r="69">
      <c r="C69" s="9" t="n"/>
    </row>
    <row r="70">
      <c r="C70" s="9" t="n"/>
    </row>
    <row r="71">
      <c r="C71" s="9" t="n"/>
    </row>
    <row r="72">
      <c r="C72" s="9" t="n"/>
    </row>
    <row r="73">
      <c r="C73" s="9" t="n"/>
    </row>
    <row r="74">
      <c r="C74" s="9" t="n"/>
    </row>
    <row r="75">
      <c r="C75" s="9" t="n"/>
    </row>
    <row r="76">
      <c r="C76" s="9" t="n"/>
    </row>
    <row r="77">
      <c r="C77" s="9" t="n"/>
    </row>
    <row r="78">
      <c r="C78" s="9" t="n"/>
    </row>
    <row r="79">
      <c r="C79" s="9" t="n"/>
    </row>
    <row r="80">
      <c r="C80" s="9" t="n"/>
    </row>
    <row r="81">
      <c r="C81" s="9" t="n"/>
    </row>
    <row r="82">
      <c r="C82" s="9" t="n"/>
    </row>
    <row r="83">
      <c r="C83" s="9" t="n"/>
    </row>
    <row r="84">
      <c r="C84" s="9" t="n"/>
    </row>
    <row r="85">
      <c r="C85" s="9" t="n"/>
    </row>
    <row r="86">
      <c r="C86" s="9" t="n"/>
    </row>
    <row r="87">
      <c r="C87" s="9" t="n"/>
    </row>
    <row r="88">
      <c r="C88" s="9" t="n"/>
    </row>
    <row r="89">
      <c r="C89" s="9" t="n"/>
    </row>
    <row r="90">
      <c r="C90" s="9" t="n"/>
    </row>
    <row r="91">
      <c r="C91" s="9" t="n"/>
    </row>
    <row r="92">
      <c r="C92" s="9" t="n"/>
    </row>
    <row r="93">
      <c r="C93" s="9" t="n"/>
    </row>
    <row r="94">
      <c r="C94" s="9" t="n"/>
    </row>
    <row r="95">
      <c r="C95" s="9" t="n"/>
    </row>
    <row r="96">
      <c r="C96" s="9" t="n"/>
    </row>
    <row r="97">
      <c r="C97" s="9" t="n"/>
    </row>
    <row r="98">
      <c r="C98" s="9" t="n"/>
    </row>
    <row r="99">
      <c r="C99" s="9" t="n"/>
    </row>
    <row r="100">
      <c r="C100" s="9" t="n"/>
    </row>
    <row r="101">
      <c r="C101" s="9" t="n"/>
    </row>
    <row r="102">
      <c r="C102" s="9" t="n"/>
    </row>
    <row r="103">
      <c r="C103" s="9" t="n"/>
    </row>
    <row r="104">
      <c r="C104" s="9" t="n"/>
    </row>
    <row r="105">
      <c r="C105" s="9" t="n"/>
    </row>
    <row r="106">
      <c r="C106" s="9" t="n"/>
    </row>
    <row r="107">
      <c r="C107" s="9" t="n"/>
    </row>
    <row r="108">
      <c r="C108" s="9" t="n"/>
    </row>
    <row r="109">
      <c r="C109" s="9" t="n"/>
    </row>
    <row r="110">
      <c r="C110" s="9" t="n"/>
    </row>
    <row r="111">
      <c r="C111" s="9" t="n"/>
    </row>
    <row r="112">
      <c r="C112" s="9" t="n"/>
    </row>
    <row r="113">
      <c r="C113" s="9" t="n"/>
    </row>
    <row r="114">
      <c r="C114" s="9" t="n"/>
    </row>
    <row r="115">
      <c r="C115" s="9" t="n"/>
    </row>
    <row r="116">
      <c r="C116" s="9" t="n"/>
    </row>
    <row r="117">
      <c r="C117" s="9" t="n"/>
    </row>
    <row r="118">
      <c r="C118" s="9" t="n"/>
    </row>
    <row r="119">
      <c r="C119" s="9" t="n"/>
    </row>
    <row r="120">
      <c r="C120" s="9" t="n"/>
    </row>
    <row r="121">
      <c r="C121" s="9" t="n"/>
    </row>
    <row r="122">
      <c r="C122" s="9" t="n"/>
    </row>
    <row r="123">
      <c r="C123" s="9" t="n"/>
    </row>
    <row r="124">
      <c r="C124" s="9" t="n"/>
    </row>
    <row r="125">
      <c r="C125" s="9" t="n"/>
    </row>
    <row r="126">
      <c r="C126" s="9" t="n"/>
    </row>
    <row r="127">
      <c r="C127" s="9" t="n"/>
    </row>
    <row r="128">
      <c r="C128" s="9" t="n"/>
    </row>
    <row r="129">
      <c r="C129" s="9" t="n"/>
    </row>
    <row r="130">
      <c r="C130" s="9" t="n"/>
    </row>
    <row r="131">
      <c r="C131" s="9" t="n"/>
    </row>
    <row r="132">
      <c r="C132" s="9" t="n"/>
    </row>
    <row r="133">
      <c r="C133" s="9" t="n"/>
    </row>
    <row r="134">
      <c r="C134" s="9" t="n"/>
    </row>
    <row r="135">
      <c r="C135" s="9" t="n"/>
    </row>
    <row r="136">
      <c r="C136" s="9" t="n"/>
    </row>
    <row r="137">
      <c r="C137" s="9" t="n"/>
    </row>
    <row r="138">
      <c r="C138" s="9" t="n"/>
    </row>
    <row r="139">
      <c r="C139" s="9" t="n"/>
    </row>
    <row r="140">
      <c r="C140" s="9" t="n"/>
    </row>
    <row r="141">
      <c r="C141" s="9" t="n"/>
    </row>
    <row r="142">
      <c r="C142" s="9" t="n"/>
    </row>
    <row r="143">
      <c r="C143" s="9" t="n"/>
    </row>
    <row r="144">
      <c r="C144" s="9" t="n"/>
    </row>
    <row r="145">
      <c r="C145" s="9" t="n"/>
    </row>
    <row r="146">
      <c r="C146" s="9" t="n"/>
    </row>
    <row r="147">
      <c r="C147" s="9" t="n"/>
    </row>
    <row r="148">
      <c r="C148" s="9" t="n"/>
    </row>
    <row r="149">
      <c r="C149" s="9" t="n"/>
    </row>
    <row r="150">
      <c r="C150" s="9" t="n"/>
    </row>
    <row r="151">
      <c r="C151" s="9" t="n"/>
    </row>
    <row r="152">
      <c r="C152" s="9" t="n"/>
    </row>
    <row r="153">
      <c r="C153" s="9" t="n"/>
    </row>
    <row r="154">
      <c r="C154" s="9" t="n"/>
    </row>
    <row r="155">
      <c r="C155" s="9" t="n"/>
    </row>
    <row r="156">
      <c r="C156" s="9" t="n"/>
    </row>
    <row r="157">
      <c r="C157" s="9" t="n"/>
    </row>
    <row r="158">
      <c r="C158" s="9" t="n"/>
    </row>
    <row r="159">
      <c r="C159" s="9" t="n"/>
    </row>
    <row r="160">
      <c r="C160" s="9" t="n"/>
    </row>
    <row r="161">
      <c r="C161" s="9" t="n"/>
    </row>
    <row r="162">
      <c r="C162" s="9" t="n"/>
    </row>
    <row r="163">
      <c r="C163" s="9" t="n"/>
    </row>
    <row r="164">
      <c r="C164" s="9" t="n"/>
    </row>
    <row r="165">
      <c r="C165" s="9" t="n"/>
    </row>
    <row r="166">
      <c r="C166" s="9" t="n"/>
    </row>
    <row r="167">
      <c r="C167" s="9" t="n"/>
    </row>
    <row r="168">
      <c r="C168" s="9" t="n"/>
    </row>
    <row r="169">
      <c r="C169" s="9" t="n"/>
    </row>
    <row r="170">
      <c r="C170" s="9" t="n"/>
    </row>
    <row r="171">
      <c r="C171" s="9" t="n"/>
    </row>
    <row r="172">
      <c r="C172" s="9" t="n"/>
    </row>
    <row r="173">
      <c r="C173" s="9" t="n"/>
    </row>
    <row r="174">
      <c r="C174" s="9" t="n"/>
    </row>
    <row r="175">
      <c r="C175" s="9" t="n"/>
    </row>
    <row r="176">
      <c r="C176" s="9" t="n"/>
    </row>
    <row r="177">
      <c r="C177" s="9" t="n"/>
    </row>
    <row r="178">
      <c r="C178" s="9" t="n"/>
    </row>
    <row r="179">
      <c r="C179" s="9" t="n"/>
    </row>
    <row r="180">
      <c r="C180" s="9" t="n"/>
    </row>
    <row r="181">
      <c r="C181" s="9" t="n"/>
    </row>
    <row r="182">
      <c r="C182" s="9" t="n"/>
    </row>
    <row r="183">
      <c r="C183" s="9" t="n"/>
    </row>
    <row r="184">
      <c r="C184" s="9" t="n"/>
    </row>
    <row r="185">
      <c r="C185" s="9" t="n"/>
    </row>
    <row r="186">
      <c r="C186" s="9" t="n"/>
    </row>
    <row r="187">
      <c r="C187" s="9" t="n"/>
    </row>
    <row r="188">
      <c r="C188" s="9" t="n"/>
    </row>
    <row r="189">
      <c r="C189" s="9" t="n"/>
    </row>
    <row r="190">
      <c r="C190" s="9" t="n"/>
    </row>
    <row r="191">
      <c r="C191" s="9" t="n"/>
    </row>
    <row r="192">
      <c r="C192" s="9" t="n"/>
    </row>
    <row r="193">
      <c r="C193" s="9" t="n"/>
    </row>
    <row r="194">
      <c r="C194" s="9" t="n"/>
    </row>
    <row r="195">
      <c r="C195" s="9" t="n"/>
    </row>
    <row r="196">
      <c r="C196" s="9" t="n"/>
    </row>
    <row r="197">
      <c r="C197" s="9" t="n"/>
    </row>
    <row r="198">
      <c r="C198" s="9" t="n"/>
    </row>
    <row r="199">
      <c r="C199" s="9" t="n"/>
    </row>
    <row r="200">
      <c r="C200" s="9" t="n"/>
    </row>
    <row r="201">
      <c r="C201" s="9" t="n"/>
    </row>
    <row r="202">
      <c r="C202" s="9" t="n"/>
    </row>
    <row r="203">
      <c r="C203" s="9" t="n"/>
    </row>
  </sheetData>
  <mergeCells count="2">
    <mergeCell ref="A2:F2"/>
    <mergeCell ref="A1:F1"/>
  </mergeCells>
  <dataValidations count="1">
    <dataValidation sqref="E4:E203" showDropDown="0" showInputMessage="0" showErrorMessage="0" allowBlank="1" errorTitle="Invalid entry" error="Please choose a value from the dropdown list." promptTitle="Dropdown" prompt="Select from list" type="list">
      <formula1>'Master Data'!$J$5:$J$9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8" customWidth="1" min="3" max="3"/>
    <col width="18" customWidth="1" min="4" max="4"/>
  </cols>
  <sheetData>
    <row r="1">
      <c r="A1" s="1" t="inlineStr">
        <is>
          <t>HARIOM LOGISTICS — OWNER STATEMENT PDFs</t>
        </is>
      </c>
    </row>
    <row r="2">
      <c r="A2" s="6" t="inlineStr">
        <is>
          <t>Generate monthly PDF statements per truck owner from Trip Log and Payments data.</t>
        </is>
      </c>
    </row>
    <row r="4">
      <c r="A4" s="2" t="inlineStr">
        <is>
          <t>COMMAND</t>
        </is>
      </c>
      <c r="B4" s="13" t="inlineStr">
        <is>
          <t>python3 generate_owner_statements.py --month 2026-06</t>
        </is>
      </c>
    </row>
    <row r="5">
      <c r="A5" s="2" t="inlineStr">
        <is>
          <t>Option</t>
        </is>
      </c>
      <c r="B5" s="2" t="inlineStr">
        <is>
          <t>Command</t>
        </is>
      </c>
    </row>
    <row r="6">
      <c r="A6" t="inlineStr">
        <is>
          <t>List available months</t>
        </is>
      </c>
      <c r="B6" s="14" t="inlineStr">
        <is>
          <t>python3 generate_owner_statements.py --list-months</t>
        </is>
      </c>
    </row>
    <row r="7">
      <c r="A7" t="inlineStr">
        <is>
          <t>Generate all owners (June 2026)</t>
        </is>
      </c>
      <c r="B7" s="14" t="inlineStr">
        <is>
          <t>python3 generate_owner_statements.py --month 2026-06</t>
        </is>
      </c>
    </row>
    <row r="8">
      <c r="A8" t="inlineStr">
        <is>
          <t>Generate one owner only</t>
        </is>
      </c>
      <c r="B8" s="14" t="inlineStr">
        <is>
          <t>python3 generate_owner_statements.py --month 2026-06 --owner VINEET</t>
        </is>
      </c>
    </row>
    <row r="9">
      <c r="A9" t="inlineStr">
        <is>
          <t>Custom output folder</t>
        </is>
      </c>
      <c r="B9" s="14" t="inlineStr">
        <is>
          <t>python3 generate_owner_statements.py --month 2026-06 --output ./statements</t>
        </is>
      </c>
    </row>
    <row r="11">
      <c r="A11" s="2" t="inlineStr">
        <is>
          <t>OUTPUT LOCATION</t>
        </is>
      </c>
    </row>
    <row r="12">
      <c r="A12" t="inlineStr">
        <is>
          <t>PDFs are saved to: statements/YYYY-MM/YYYY-MM_OwnerName_statement.pdf</t>
        </is>
      </c>
    </row>
    <row r="14">
      <c r="A14" s="2" t="inlineStr">
        <is>
          <t>EACH PDF INCLUDES</t>
        </is>
      </c>
    </row>
    <row r="15">
      <c r="A15" t="inlineStr">
        <is>
          <t>• Trip details: LR, date, party, destination, truck, freight, commission, balance, PAHUNCH</t>
        </is>
      </c>
    </row>
    <row r="16">
      <c r="A16" t="inlineStr">
        <is>
          <t>• Trip summary: totals for freight, commission, munsiyana, balance payable</t>
        </is>
      </c>
    </row>
    <row r="17">
      <c r="A17" t="inlineStr">
        <is>
          <t>• Payments received that month</t>
        </is>
      </c>
    </row>
    <row r="18">
      <c r="A18" t="inlineStr">
        <is>
          <t>• Account summary: balance payable − payments = net due</t>
        </is>
      </c>
    </row>
  </sheetData>
  <mergeCells count="7">
    <mergeCell ref="A1:D1"/>
    <mergeCell ref="A17:D17"/>
    <mergeCell ref="A18:D18"/>
    <mergeCell ref="A12:D12"/>
    <mergeCell ref="A15:D15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20" customWidth="1" min="8" max="8"/>
  </cols>
  <sheetData>
    <row r="1">
      <c r="B1" s="1" t="inlineStr">
        <is>
          <t>HAMARA PUMP, KATRA — DIESEL ACCOUNT</t>
        </is>
      </c>
    </row>
    <row r="2">
      <c r="B2" s="6" t="inlineStr">
        <is>
          <t>Track diesel deposits and usage per vehicle. Balance = Previous Balance + Deposit − Diesel − Cash.</t>
        </is>
      </c>
    </row>
    <row r="4">
      <c r="A4" s="7" t="n"/>
      <c r="B4" s="7" t="inlineStr">
        <is>
          <t>DATE</t>
        </is>
      </c>
      <c r="C4" s="7" t="inlineStr">
        <is>
          <t>Vehicle No.</t>
        </is>
      </c>
      <c r="D4" s="7" t="inlineStr">
        <is>
          <t>Deposit Amt.</t>
        </is>
      </c>
      <c r="E4" s="7" t="inlineStr">
        <is>
          <t>Diesel</t>
        </is>
      </c>
      <c r="F4" s="7" t="inlineStr">
        <is>
          <t>Cash</t>
        </is>
      </c>
      <c r="G4" s="7" t="inlineStr">
        <is>
          <t>Balance</t>
        </is>
      </c>
      <c r="H4" s="7" t="inlineStr">
        <is>
          <t>Notes</t>
        </is>
      </c>
    </row>
    <row r="5">
      <c r="D5" s="9" t="n"/>
      <c r="E5" s="9" t="n"/>
      <c r="F5" s="9" t="n"/>
      <c r="G5" s="9">
        <f>IF(D5="","",D5-E5-F5)</f>
        <v/>
      </c>
    </row>
    <row r="6">
      <c r="D6" s="9" t="n"/>
      <c r="E6" s="9" t="n"/>
      <c r="F6" s="9" t="n"/>
      <c r="G6" s="9">
        <f>IF(B6="","",IF(G5="",0,G5)+D6-E6-F6)</f>
        <v/>
      </c>
    </row>
    <row r="7">
      <c r="D7" s="9" t="n"/>
      <c r="E7" s="9" t="n"/>
      <c r="F7" s="9" t="n"/>
      <c r="G7" s="9">
        <f>IF(B7="","",IF(G6="",0,G6)+D7-E7-F7)</f>
        <v/>
      </c>
    </row>
    <row r="8">
      <c r="D8" s="9" t="n"/>
      <c r="E8" s="9" t="n"/>
      <c r="F8" s="9" t="n"/>
      <c r="G8" s="9">
        <f>IF(B8="","",IF(G7="",0,G7)+D8-E8-F8)</f>
        <v/>
      </c>
    </row>
    <row r="9">
      <c r="D9" s="9" t="n"/>
      <c r="E9" s="9" t="n"/>
      <c r="F9" s="9" t="n"/>
      <c r="G9" s="9">
        <f>IF(B9="","",IF(G8="",0,G8)+D9-E9-F9)</f>
        <v/>
      </c>
    </row>
    <row r="10">
      <c r="D10" s="9" t="n"/>
      <c r="E10" s="9" t="n"/>
      <c r="F10" s="9" t="n"/>
      <c r="G10" s="9">
        <f>IF(B10="","",IF(G9="",0,G9)+D10-E10-F10)</f>
        <v/>
      </c>
    </row>
    <row r="11">
      <c r="D11" s="9" t="n"/>
      <c r="E11" s="9" t="n"/>
      <c r="F11" s="9" t="n"/>
      <c r="G11" s="9">
        <f>IF(B11="","",IF(G10="",0,G10)+D11-E11-F11)</f>
        <v/>
      </c>
    </row>
    <row r="12">
      <c r="D12" s="9" t="n"/>
      <c r="E12" s="9" t="n"/>
      <c r="F12" s="9" t="n"/>
      <c r="G12" s="9">
        <f>IF(B12="","",IF(G11="",0,G11)+D12-E12-F12)</f>
        <v/>
      </c>
    </row>
    <row r="13">
      <c r="D13" s="9" t="n"/>
      <c r="E13" s="9" t="n"/>
      <c r="F13" s="9" t="n"/>
      <c r="G13" s="9">
        <f>IF(B13="","",IF(G12="",0,G12)+D13-E13-F13)</f>
        <v/>
      </c>
    </row>
    <row r="14">
      <c r="D14" s="9" t="n"/>
      <c r="E14" s="9" t="n"/>
      <c r="F14" s="9" t="n"/>
      <c r="G14" s="9">
        <f>IF(B14="","",IF(G13="",0,G13)+D14-E14-F14)</f>
        <v/>
      </c>
    </row>
    <row r="15">
      <c r="D15" s="9" t="n"/>
      <c r="E15" s="9" t="n"/>
      <c r="F15" s="9" t="n"/>
      <c r="G15" s="9">
        <f>IF(B15="","",IF(G14="",0,G14)+D15-E15-F15)</f>
        <v/>
      </c>
    </row>
    <row r="16">
      <c r="D16" s="9" t="n"/>
      <c r="E16" s="9" t="n"/>
      <c r="F16" s="9" t="n"/>
      <c r="G16" s="9">
        <f>IF(B16="","",IF(G15="",0,G15)+D16-E16-F16)</f>
        <v/>
      </c>
    </row>
    <row r="17">
      <c r="D17" s="9" t="n"/>
      <c r="E17" s="9" t="n"/>
      <c r="F17" s="9" t="n"/>
      <c r="G17" s="9">
        <f>IF(B17="","",IF(G16="",0,G16)+D17-E17-F17)</f>
        <v/>
      </c>
    </row>
    <row r="18">
      <c r="D18" s="9" t="n"/>
      <c r="E18" s="9" t="n"/>
      <c r="F18" s="9" t="n"/>
      <c r="G18" s="9">
        <f>IF(B18="","",IF(G17="",0,G17)+D18-E18-F18)</f>
        <v/>
      </c>
    </row>
    <row r="19">
      <c r="D19" s="9" t="n"/>
      <c r="E19" s="9" t="n"/>
      <c r="F19" s="9" t="n"/>
      <c r="G19" s="9">
        <f>IF(B19="","",IF(G18="",0,G18)+D19-E19-F19)</f>
        <v/>
      </c>
    </row>
    <row r="20">
      <c r="D20" s="9" t="n"/>
      <c r="E20" s="9" t="n"/>
      <c r="F20" s="9" t="n"/>
      <c r="G20" s="9">
        <f>IF(B20="","",IF(G19="",0,G19)+D20-E20-F20)</f>
        <v/>
      </c>
    </row>
    <row r="21">
      <c r="D21" s="9" t="n"/>
      <c r="E21" s="9" t="n"/>
      <c r="F21" s="9" t="n"/>
      <c r="G21" s="9">
        <f>IF(B21="","",IF(G20="",0,G20)+D21-E21-F21)</f>
        <v/>
      </c>
    </row>
    <row r="22">
      <c r="D22" s="9" t="n"/>
      <c r="E22" s="9" t="n"/>
      <c r="F22" s="9" t="n"/>
      <c r="G22" s="9">
        <f>IF(B22="","",IF(G21="",0,G21)+D22-E22-F22)</f>
        <v/>
      </c>
    </row>
    <row r="23">
      <c r="D23" s="9" t="n"/>
      <c r="E23" s="9" t="n"/>
      <c r="F23" s="9" t="n"/>
      <c r="G23" s="9">
        <f>IF(B23="","",IF(G22="",0,G22)+D23-E23-F23)</f>
        <v/>
      </c>
    </row>
    <row r="24">
      <c r="D24" s="9" t="n"/>
      <c r="E24" s="9" t="n"/>
      <c r="F24" s="9" t="n"/>
      <c r="G24" s="9">
        <f>IF(B24="","",IF(G23="",0,G23)+D24-E24-F24)</f>
        <v/>
      </c>
    </row>
    <row r="25">
      <c r="D25" s="9" t="n"/>
      <c r="E25" s="9" t="n"/>
      <c r="F25" s="9" t="n"/>
      <c r="G25" s="9">
        <f>IF(B25="","",IF(G24="",0,G24)+D25-E25-F25)</f>
        <v/>
      </c>
    </row>
    <row r="26">
      <c r="D26" s="9" t="n"/>
      <c r="E26" s="9" t="n"/>
      <c r="F26" s="9" t="n"/>
      <c r="G26" s="9">
        <f>IF(B26="","",IF(G25="",0,G25)+D26-E26-F26)</f>
        <v/>
      </c>
    </row>
    <row r="27">
      <c r="D27" s="9" t="n"/>
      <c r="E27" s="9" t="n"/>
      <c r="F27" s="9" t="n"/>
      <c r="G27" s="9">
        <f>IF(B27="","",IF(G26="",0,G26)+D27-E27-F27)</f>
        <v/>
      </c>
    </row>
    <row r="28">
      <c r="D28" s="9" t="n"/>
      <c r="E28" s="9" t="n"/>
      <c r="F28" s="9" t="n"/>
      <c r="G28" s="9">
        <f>IF(B28="","",IF(G27="",0,G27)+D28-E28-F28)</f>
        <v/>
      </c>
    </row>
    <row r="29">
      <c r="D29" s="9" t="n"/>
      <c r="E29" s="9" t="n"/>
      <c r="F29" s="9" t="n"/>
      <c r="G29" s="9">
        <f>IF(B29="","",IF(G28="",0,G28)+D29-E29-F29)</f>
        <v/>
      </c>
    </row>
    <row r="30">
      <c r="D30" s="9" t="n"/>
      <c r="E30" s="9" t="n"/>
      <c r="F30" s="9" t="n"/>
      <c r="G30" s="9">
        <f>IF(B30="","",IF(G29="",0,G29)+D30-E30-F30)</f>
        <v/>
      </c>
    </row>
    <row r="31">
      <c r="D31" s="9" t="n"/>
      <c r="E31" s="9" t="n"/>
      <c r="F31" s="9" t="n"/>
      <c r="G31" s="9">
        <f>IF(B31="","",IF(G30="",0,G30)+D31-E31-F31)</f>
        <v/>
      </c>
    </row>
    <row r="32">
      <c r="D32" s="9" t="n"/>
      <c r="E32" s="9" t="n"/>
      <c r="F32" s="9" t="n"/>
      <c r="G32" s="9">
        <f>IF(B32="","",IF(G31="",0,G31)+D32-E32-F32)</f>
        <v/>
      </c>
    </row>
    <row r="33">
      <c r="D33" s="9" t="n"/>
      <c r="E33" s="9" t="n"/>
      <c r="F33" s="9" t="n"/>
      <c r="G33" s="9">
        <f>IF(B33="","",IF(G32="",0,G32)+D33-E33-F33)</f>
        <v/>
      </c>
    </row>
    <row r="34">
      <c r="D34" s="9" t="n"/>
      <c r="E34" s="9" t="n"/>
      <c r="F34" s="9" t="n"/>
      <c r="G34" s="9">
        <f>IF(B34="","",IF(G33="",0,G33)+D34-E34-F34)</f>
        <v/>
      </c>
    </row>
    <row r="35">
      <c r="D35" s="9" t="n"/>
      <c r="E35" s="9" t="n"/>
      <c r="F35" s="9" t="n"/>
      <c r="G35" s="9">
        <f>IF(B35="","",IF(G34="",0,G34)+D35-E35-F35)</f>
        <v/>
      </c>
    </row>
    <row r="36">
      <c r="D36" s="9" t="n"/>
      <c r="E36" s="9" t="n"/>
      <c r="F36" s="9" t="n"/>
      <c r="G36" s="9">
        <f>IF(B36="","",IF(G35="",0,G35)+D36-E36-F36)</f>
        <v/>
      </c>
    </row>
    <row r="37">
      <c r="D37" s="9" t="n"/>
      <c r="E37" s="9" t="n"/>
      <c r="F37" s="9" t="n"/>
      <c r="G37" s="9">
        <f>IF(B37="","",IF(G36="",0,G36)+D37-E37-F37)</f>
        <v/>
      </c>
    </row>
    <row r="38">
      <c r="D38" s="9" t="n"/>
      <c r="E38" s="9" t="n"/>
      <c r="F38" s="9" t="n"/>
      <c r="G38" s="9">
        <f>IF(B38="","",IF(G37="",0,G37)+D38-E38-F38)</f>
        <v/>
      </c>
    </row>
    <row r="39">
      <c r="D39" s="9" t="n"/>
      <c r="E39" s="9" t="n"/>
      <c r="F39" s="9" t="n"/>
      <c r="G39" s="9">
        <f>IF(B39="","",IF(G38="",0,G38)+D39-E39-F39)</f>
        <v/>
      </c>
    </row>
    <row r="40">
      <c r="D40" s="9" t="n"/>
      <c r="E40" s="9" t="n"/>
      <c r="F40" s="9" t="n"/>
      <c r="G40" s="9">
        <f>IF(B40="","",IF(G39="",0,G39)+D40-E40-F40)</f>
        <v/>
      </c>
    </row>
    <row r="41">
      <c r="D41" s="9" t="n"/>
      <c r="E41" s="9" t="n"/>
      <c r="F41" s="9" t="n"/>
      <c r="G41" s="9">
        <f>IF(B41="","",IF(G40="",0,G40)+D41-E41-F41)</f>
        <v/>
      </c>
    </row>
    <row r="42">
      <c r="D42" s="9" t="n"/>
      <c r="E42" s="9" t="n"/>
      <c r="F42" s="9" t="n"/>
      <c r="G42" s="9">
        <f>IF(B42="","",IF(G41="",0,G41)+D42-E42-F42)</f>
        <v/>
      </c>
    </row>
    <row r="43">
      <c r="D43" s="9" t="n"/>
      <c r="E43" s="9" t="n"/>
      <c r="F43" s="9" t="n"/>
      <c r="G43" s="9">
        <f>IF(B43="","",IF(G42="",0,G42)+D43-E43-F43)</f>
        <v/>
      </c>
    </row>
    <row r="44">
      <c r="D44" s="9" t="n"/>
      <c r="E44" s="9" t="n"/>
      <c r="F44" s="9" t="n"/>
      <c r="G44" s="9">
        <f>IF(B44="","",IF(G43="",0,G43)+D44-E44-F44)</f>
        <v/>
      </c>
    </row>
    <row r="45">
      <c r="D45" s="9" t="n"/>
      <c r="E45" s="9" t="n"/>
      <c r="F45" s="9" t="n"/>
      <c r="G45" s="9">
        <f>IF(B45="","",IF(G44="",0,G44)+D45-E45-F45)</f>
        <v/>
      </c>
    </row>
    <row r="46">
      <c r="D46" s="9" t="n"/>
      <c r="E46" s="9" t="n"/>
      <c r="F46" s="9" t="n"/>
      <c r="G46" s="9">
        <f>IF(B46="","",IF(G45="",0,G45)+D46-E46-F46)</f>
        <v/>
      </c>
    </row>
    <row r="47">
      <c r="D47" s="9" t="n"/>
      <c r="E47" s="9" t="n"/>
      <c r="F47" s="9" t="n"/>
      <c r="G47" s="9">
        <f>IF(B47="","",IF(G46="",0,G46)+D47-E47-F47)</f>
        <v/>
      </c>
    </row>
    <row r="48">
      <c r="D48" s="9" t="n"/>
      <c r="E48" s="9" t="n"/>
      <c r="F48" s="9" t="n"/>
      <c r="G48" s="9">
        <f>IF(B48="","",IF(G47="",0,G47)+D48-E48-F48)</f>
        <v/>
      </c>
    </row>
    <row r="49">
      <c r="D49" s="9" t="n"/>
      <c r="E49" s="9" t="n"/>
      <c r="F49" s="9" t="n"/>
      <c r="G49" s="9">
        <f>IF(B49="","",IF(G48="",0,G48)+D49-E49-F49)</f>
        <v/>
      </c>
    </row>
    <row r="50">
      <c r="D50" s="9" t="n"/>
      <c r="E50" s="9" t="n"/>
      <c r="F50" s="9" t="n"/>
      <c r="G50" s="9">
        <f>IF(B50="","",IF(G49="",0,G49)+D50-E50-F50)</f>
        <v/>
      </c>
    </row>
    <row r="51">
      <c r="D51" s="9" t="n"/>
      <c r="E51" s="9" t="n"/>
      <c r="F51" s="9" t="n"/>
      <c r="G51" s="9">
        <f>IF(B51="","",IF(G50="",0,G50)+D51-E51-F51)</f>
        <v/>
      </c>
    </row>
    <row r="52">
      <c r="D52" s="9" t="n"/>
      <c r="E52" s="9" t="n"/>
      <c r="F52" s="9" t="n"/>
      <c r="G52" s="9">
        <f>IF(B52="","",IF(G51="",0,G51)+D52-E52-F52)</f>
        <v/>
      </c>
    </row>
    <row r="53">
      <c r="D53" s="9" t="n"/>
      <c r="E53" s="9" t="n"/>
      <c r="F53" s="9" t="n"/>
      <c r="G53" s="9">
        <f>IF(B53="","",IF(G52="",0,G52)+D53-E53-F53)</f>
        <v/>
      </c>
    </row>
    <row r="54">
      <c r="D54" s="9" t="n"/>
      <c r="E54" s="9" t="n"/>
      <c r="F54" s="9" t="n"/>
      <c r="G54" s="9">
        <f>IF(B54="","",IF(G53="",0,G53)+D54-E54-F54)</f>
        <v/>
      </c>
    </row>
    <row r="55">
      <c r="D55" s="9" t="n"/>
      <c r="E55" s="9" t="n"/>
      <c r="F55" s="9" t="n"/>
      <c r="G55" s="9">
        <f>IF(B55="","",IF(G54="",0,G54)+D55-E55-F55)</f>
        <v/>
      </c>
    </row>
    <row r="56">
      <c r="D56" s="9" t="n"/>
      <c r="E56" s="9" t="n"/>
      <c r="F56" s="9" t="n"/>
      <c r="G56" s="9">
        <f>IF(B56="","",IF(G55="",0,G55)+D56-E56-F56)</f>
        <v/>
      </c>
    </row>
    <row r="57">
      <c r="D57" s="9" t="n"/>
      <c r="E57" s="9" t="n"/>
      <c r="F57" s="9" t="n"/>
      <c r="G57" s="9">
        <f>IF(B57="","",IF(G56="",0,G56)+D57-E57-F57)</f>
        <v/>
      </c>
    </row>
    <row r="58">
      <c r="D58" s="9" t="n"/>
      <c r="E58" s="9" t="n"/>
      <c r="F58" s="9" t="n"/>
      <c r="G58" s="9">
        <f>IF(B58="","",IF(G57="",0,G57)+D58-E58-F58)</f>
        <v/>
      </c>
    </row>
    <row r="59">
      <c r="D59" s="9" t="n"/>
      <c r="E59" s="9" t="n"/>
      <c r="F59" s="9" t="n"/>
      <c r="G59" s="9">
        <f>IF(B59="","",IF(G58="",0,G58)+D59-E59-F59)</f>
        <v/>
      </c>
    </row>
    <row r="60">
      <c r="D60" s="9" t="n"/>
      <c r="E60" s="9" t="n"/>
      <c r="F60" s="9" t="n"/>
      <c r="G60" s="9">
        <f>IF(B60="","",IF(G59="",0,G59)+D60-E60-F60)</f>
        <v/>
      </c>
    </row>
    <row r="61">
      <c r="D61" s="9" t="n"/>
      <c r="E61" s="9" t="n"/>
      <c r="F61" s="9" t="n"/>
      <c r="G61" s="9">
        <f>IF(B61="","",IF(G60="",0,G60)+D61-E61-F61)</f>
        <v/>
      </c>
    </row>
    <row r="62">
      <c r="D62" s="9" t="n"/>
      <c r="E62" s="9" t="n"/>
      <c r="F62" s="9" t="n"/>
      <c r="G62" s="9">
        <f>IF(B62="","",IF(G61="",0,G61)+D62-E62-F62)</f>
        <v/>
      </c>
    </row>
    <row r="63">
      <c r="D63" s="9" t="n"/>
      <c r="E63" s="9" t="n"/>
      <c r="F63" s="9" t="n"/>
      <c r="G63" s="9">
        <f>IF(B63="","",IF(G62="",0,G62)+D63-E63-F63)</f>
        <v/>
      </c>
    </row>
    <row r="64">
      <c r="D64" s="9" t="n"/>
      <c r="E64" s="9" t="n"/>
      <c r="F64" s="9" t="n"/>
      <c r="G64" s="9">
        <f>IF(B64="","",IF(G63="",0,G63)+D64-E64-F64)</f>
        <v/>
      </c>
    </row>
    <row r="65">
      <c r="D65" s="9" t="n"/>
      <c r="E65" s="9" t="n"/>
      <c r="F65" s="9" t="n"/>
      <c r="G65" s="9">
        <f>IF(B65="","",IF(G64="",0,G64)+D65-E65-F65)</f>
        <v/>
      </c>
    </row>
    <row r="66">
      <c r="D66" s="9" t="n"/>
      <c r="E66" s="9" t="n"/>
      <c r="F66" s="9" t="n"/>
      <c r="G66" s="9">
        <f>IF(B66="","",IF(G65="",0,G65)+D66-E66-F66)</f>
        <v/>
      </c>
    </row>
    <row r="67">
      <c r="D67" s="9" t="n"/>
      <c r="E67" s="9" t="n"/>
      <c r="F67" s="9" t="n"/>
      <c r="G67" s="9">
        <f>IF(B67="","",IF(G66="",0,G66)+D67-E67-F67)</f>
        <v/>
      </c>
    </row>
    <row r="68">
      <c r="D68" s="9" t="n"/>
      <c r="E68" s="9" t="n"/>
      <c r="F68" s="9" t="n"/>
      <c r="G68" s="9">
        <f>IF(B68="","",IF(G67="",0,G67)+D68-E68-F68)</f>
        <v/>
      </c>
    </row>
    <row r="69">
      <c r="D69" s="9" t="n"/>
      <c r="E69" s="9" t="n"/>
      <c r="F69" s="9" t="n"/>
      <c r="G69" s="9">
        <f>IF(B69="","",IF(G68="",0,G68)+D69-E69-F69)</f>
        <v/>
      </c>
    </row>
    <row r="70">
      <c r="D70" s="9" t="n"/>
      <c r="E70" s="9" t="n"/>
      <c r="F70" s="9" t="n"/>
      <c r="G70" s="9">
        <f>IF(B70="","",IF(G69="",0,G69)+D70-E70-F70)</f>
        <v/>
      </c>
    </row>
    <row r="71">
      <c r="D71" s="9" t="n"/>
      <c r="E71" s="9" t="n"/>
      <c r="F71" s="9" t="n"/>
      <c r="G71" s="9">
        <f>IF(B71="","",IF(G70="",0,G70)+D71-E71-F71)</f>
        <v/>
      </c>
    </row>
    <row r="72">
      <c r="D72" s="9" t="n"/>
      <c r="E72" s="9" t="n"/>
      <c r="F72" s="9" t="n"/>
      <c r="G72" s="9">
        <f>IF(B72="","",IF(G71="",0,G71)+D72-E72-F72)</f>
        <v/>
      </c>
    </row>
    <row r="73">
      <c r="D73" s="9" t="n"/>
      <c r="E73" s="9" t="n"/>
      <c r="F73" s="9" t="n"/>
      <c r="G73" s="9">
        <f>IF(B73="","",IF(G72="",0,G72)+D73-E73-F73)</f>
        <v/>
      </c>
    </row>
    <row r="74">
      <c r="D74" s="9" t="n"/>
      <c r="E74" s="9" t="n"/>
      <c r="F74" s="9" t="n"/>
      <c r="G74" s="9">
        <f>IF(B74="","",IF(G73="",0,G73)+D74-E74-F74)</f>
        <v/>
      </c>
    </row>
    <row r="75">
      <c r="D75" s="9" t="n"/>
      <c r="E75" s="9" t="n"/>
      <c r="F75" s="9" t="n"/>
      <c r="G75" s="9">
        <f>IF(B75="","",IF(G74="",0,G74)+D75-E75-F75)</f>
        <v/>
      </c>
    </row>
    <row r="76">
      <c r="D76" s="9" t="n"/>
      <c r="E76" s="9" t="n"/>
      <c r="F76" s="9" t="n"/>
      <c r="G76" s="9">
        <f>IF(B76="","",IF(G75="",0,G75)+D76-E76-F76)</f>
        <v/>
      </c>
    </row>
    <row r="77">
      <c r="D77" s="9" t="n"/>
      <c r="E77" s="9" t="n"/>
      <c r="F77" s="9" t="n"/>
      <c r="G77" s="9">
        <f>IF(B77="","",IF(G76="",0,G76)+D77-E77-F77)</f>
        <v/>
      </c>
    </row>
    <row r="78">
      <c r="D78" s="9" t="n"/>
      <c r="E78" s="9" t="n"/>
      <c r="F78" s="9" t="n"/>
      <c r="G78" s="9">
        <f>IF(B78="","",IF(G77="",0,G77)+D78-E78-F78)</f>
        <v/>
      </c>
    </row>
    <row r="79">
      <c r="D79" s="9" t="n"/>
      <c r="E79" s="9" t="n"/>
      <c r="F79" s="9" t="n"/>
      <c r="G79" s="9">
        <f>IF(B79="","",IF(G78="",0,G78)+D79-E79-F79)</f>
        <v/>
      </c>
    </row>
    <row r="80">
      <c r="D80" s="9" t="n"/>
      <c r="E80" s="9" t="n"/>
      <c r="F80" s="9" t="n"/>
      <c r="G80" s="9">
        <f>IF(B80="","",IF(G79="",0,G79)+D80-E80-F80)</f>
        <v/>
      </c>
    </row>
    <row r="81">
      <c r="D81" s="9" t="n"/>
      <c r="E81" s="9" t="n"/>
      <c r="F81" s="9" t="n"/>
      <c r="G81" s="9">
        <f>IF(B81="","",IF(G80="",0,G80)+D81-E81-F81)</f>
        <v/>
      </c>
    </row>
    <row r="82">
      <c r="D82" s="9" t="n"/>
      <c r="E82" s="9" t="n"/>
      <c r="F82" s="9" t="n"/>
      <c r="G82" s="9">
        <f>IF(B82="","",IF(G81="",0,G81)+D82-E82-F82)</f>
        <v/>
      </c>
    </row>
    <row r="83">
      <c r="D83" s="9" t="n"/>
      <c r="E83" s="9" t="n"/>
      <c r="F83" s="9" t="n"/>
      <c r="G83" s="9">
        <f>IF(B83="","",IF(G82="",0,G82)+D83-E83-F83)</f>
        <v/>
      </c>
    </row>
    <row r="84">
      <c r="D84" s="9" t="n"/>
      <c r="E84" s="9" t="n"/>
      <c r="F84" s="9" t="n"/>
      <c r="G84" s="9">
        <f>IF(B84="","",IF(G83="",0,G83)+D84-E84-F84)</f>
        <v/>
      </c>
    </row>
    <row r="85">
      <c r="D85" s="9" t="n"/>
      <c r="E85" s="9" t="n"/>
      <c r="F85" s="9" t="n"/>
      <c r="G85" s="9">
        <f>IF(B85="","",IF(G84="",0,G84)+D85-E85-F85)</f>
        <v/>
      </c>
    </row>
    <row r="86">
      <c r="D86" s="9" t="n"/>
      <c r="E86" s="9" t="n"/>
      <c r="F86" s="9" t="n"/>
      <c r="G86" s="9">
        <f>IF(B86="","",IF(G85="",0,G85)+D86-E86-F86)</f>
        <v/>
      </c>
    </row>
    <row r="87">
      <c r="D87" s="9" t="n"/>
      <c r="E87" s="9" t="n"/>
      <c r="F87" s="9" t="n"/>
      <c r="G87" s="9">
        <f>IF(B87="","",IF(G86="",0,G86)+D87-E87-F87)</f>
        <v/>
      </c>
    </row>
    <row r="88">
      <c r="D88" s="9" t="n"/>
      <c r="E88" s="9" t="n"/>
      <c r="F88" s="9" t="n"/>
      <c r="G88" s="9">
        <f>IF(B88="","",IF(G87="",0,G87)+D88-E88-F88)</f>
        <v/>
      </c>
    </row>
    <row r="89">
      <c r="D89" s="9" t="n"/>
      <c r="E89" s="9" t="n"/>
      <c r="F89" s="9" t="n"/>
      <c r="G89" s="9">
        <f>IF(B89="","",IF(G88="",0,G88)+D89-E89-F89)</f>
        <v/>
      </c>
    </row>
    <row r="90">
      <c r="D90" s="9" t="n"/>
      <c r="E90" s="9" t="n"/>
      <c r="F90" s="9" t="n"/>
      <c r="G90" s="9">
        <f>IF(B90="","",IF(G89="",0,G89)+D90-E90-F90)</f>
        <v/>
      </c>
    </row>
    <row r="91">
      <c r="D91" s="9" t="n"/>
      <c r="E91" s="9" t="n"/>
      <c r="F91" s="9" t="n"/>
      <c r="G91" s="9">
        <f>IF(B91="","",IF(G90="",0,G90)+D91-E91-F91)</f>
        <v/>
      </c>
    </row>
    <row r="92">
      <c r="D92" s="9" t="n"/>
      <c r="E92" s="9" t="n"/>
      <c r="F92" s="9" t="n"/>
      <c r="G92" s="9">
        <f>IF(B92="","",IF(G91="",0,G91)+D92-E92-F92)</f>
        <v/>
      </c>
    </row>
    <row r="93">
      <c r="D93" s="9" t="n"/>
      <c r="E93" s="9" t="n"/>
      <c r="F93" s="9" t="n"/>
      <c r="G93" s="9">
        <f>IF(B93="","",IF(G92="",0,G92)+D93-E93-F93)</f>
        <v/>
      </c>
    </row>
    <row r="94">
      <c r="D94" s="9" t="n"/>
      <c r="E94" s="9" t="n"/>
      <c r="F94" s="9" t="n"/>
      <c r="G94" s="9">
        <f>IF(B94="","",IF(G93="",0,G93)+D94-E94-F94)</f>
        <v/>
      </c>
    </row>
    <row r="95">
      <c r="D95" s="9" t="n"/>
      <c r="E95" s="9" t="n"/>
      <c r="F95" s="9" t="n"/>
      <c r="G95" s="9">
        <f>IF(B95="","",IF(G94="",0,G94)+D95-E95-F95)</f>
        <v/>
      </c>
    </row>
    <row r="96">
      <c r="D96" s="9" t="n"/>
      <c r="E96" s="9" t="n"/>
      <c r="F96" s="9" t="n"/>
      <c r="G96" s="9">
        <f>IF(B96="","",IF(G95="",0,G95)+D96-E96-F96)</f>
        <v/>
      </c>
    </row>
    <row r="97">
      <c r="D97" s="9" t="n"/>
      <c r="E97" s="9" t="n"/>
      <c r="F97" s="9" t="n"/>
      <c r="G97" s="9">
        <f>IF(B97="","",IF(G96="",0,G96)+D97-E97-F97)</f>
        <v/>
      </c>
    </row>
    <row r="98">
      <c r="D98" s="9" t="n"/>
      <c r="E98" s="9" t="n"/>
      <c r="F98" s="9" t="n"/>
      <c r="G98" s="9">
        <f>IF(B98="","",IF(G97="",0,G97)+D98-E98-F98)</f>
        <v/>
      </c>
    </row>
    <row r="99">
      <c r="D99" s="9" t="n"/>
      <c r="E99" s="9" t="n"/>
      <c r="F99" s="9" t="n"/>
      <c r="G99" s="9">
        <f>IF(B99="","",IF(G98="",0,G98)+D99-E99-F99)</f>
        <v/>
      </c>
    </row>
    <row r="100">
      <c r="D100" s="9" t="n"/>
      <c r="E100" s="9" t="n"/>
      <c r="F100" s="9" t="n"/>
      <c r="G100" s="9">
        <f>IF(B100="","",IF(G99="",0,G99)+D100-E100-F100)</f>
        <v/>
      </c>
    </row>
    <row r="101">
      <c r="D101" s="9" t="n"/>
      <c r="E101" s="9" t="n"/>
      <c r="F101" s="9" t="n"/>
      <c r="G101" s="9">
        <f>IF(B101="","",IF(G100="",0,G100)+D101-E101-F101)</f>
        <v/>
      </c>
    </row>
    <row r="102">
      <c r="D102" s="9" t="n"/>
      <c r="E102" s="9" t="n"/>
      <c r="F102" s="9" t="n"/>
      <c r="G102" s="9">
        <f>IF(B102="","",IF(G101="",0,G101)+D102-E102-F102)</f>
        <v/>
      </c>
    </row>
    <row r="103">
      <c r="D103" s="9" t="n"/>
      <c r="E103" s="9" t="n"/>
      <c r="F103" s="9" t="n"/>
      <c r="G103" s="9">
        <f>IF(B103="","",IF(G102="",0,G102)+D103-E103-F103)</f>
        <v/>
      </c>
    </row>
    <row r="104">
      <c r="D104" s="9" t="n"/>
      <c r="E104" s="9" t="n"/>
      <c r="F104" s="9" t="n"/>
      <c r="G104" s="9">
        <f>IF(B104="","",IF(G103="",0,G103)+D104-E104-F104)</f>
        <v/>
      </c>
    </row>
  </sheetData>
  <mergeCells count="2">
    <mergeCell ref="B1:H1"/>
    <mergeCell ref="B2:H2"/>
  </mergeCells>
  <dataValidations count="1">
    <dataValidation sqref="C5:C104" showDropDown="0" showInputMessage="0" showErrorMessage="0" allowBlank="1" errorTitle="Invalid entry" error="Please choose a value from the dropdown list." promptTitle="Dropdown" prompt="Select from list" type="list">
      <formula1>'Master Data'!$E$5:$E$15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28" customWidth="1" min="3" max="3"/>
    <col width="3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10" max="10"/>
    <col width="12" customWidth="1" min="12" max="12"/>
    <col width="12" customWidth="1" min="13" max="13"/>
    <col width="12" customWidth="1" min="14" max="14"/>
    <col width="14" customWidth="1" min="16" max="16"/>
  </cols>
  <sheetData>
    <row r="1">
      <c r="A1" s="1" t="inlineStr">
        <is>
          <t>HARIOM LOGISTICS — MASTER DATA</t>
        </is>
      </c>
    </row>
    <row r="2" hidden="1">
      <c r="A2" t="inlineStr">
        <is>
          <t>Parties!$A$5:$A$88</t>
        </is>
      </c>
      <c r="C2" t="inlineStr">
        <is>
          <t>Destinations!$C$5:$C$100</t>
        </is>
      </c>
      <c r="E2" t="inlineStr">
        <is>
          <t>Trucks!$E$5:$E$15</t>
        </is>
      </c>
      <c r="J2" t="inlineStr">
        <is>
          <t>Owners!$J$5:$J$9</t>
        </is>
      </c>
      <c r="L2" t="inlineStr">
        <is>
          <t>$L$5:$L$5</t>
        </is>
      </c>
      <c r="P2" t="inlineStr">
        <is>
          <t>BillRefs!$P$5:$P$15</t>
        </is>
      </c>
    </row>
    <row r="3">
      <c r="A3" s="15" t="inlineStr">
        <is>
          <t>PARTIES (Sold To)</t>
        </is>
      </c>
      <c r="C3" s="15" t="inlineStr">
        <is>
          <t>DESTINATIONS</t>
        </is>
      </c>
      <c r="E3" s="15" t="inlineStr">
        <is>
          <t>TRUCKS</t>
        </is>
      </c>
      <c r="J3" s="15" t="inlineStr">
        <is>
          <t>OWNERS</t>
        </is>
      </c>
      <c r="L3" s="15" t="inlineStr">
        <is>
          <t>STATUS LISTS</t>
        </is>
      </c>
      <c r="P3" s="15" t="inlineStr">
        <is>
          <t>TRIP BILL REFS</t>
        </is>
      </c>
    </row>
    <row r="4">
      <c r="A4" s="7" t="inlineStr">
        <is>
          <t>Party Name</t>
        </is>
      </c>
      <c r="B4" s="7" t="n"/>
      <c r="C4" s="7" t="inlineStr">
        <is>
          <t>Destination</t>
        </is>
      </c>
      <c r="D4" s="7" t="n"/>
      <c r="E4" s="7" t="inlineStr">
        <is>
          <t>Truck No</t>
        </is>
      </c>
      <c r="F4" s="7" t="inlineStr">
        <is>
          <t>Owner</t>
        </is>
      </c>
      <c r="G4" s="7" t="inlineStr">
        <is>
          <t>Commission</t>
        </is>
      </c>
      <c r="H4" s="7" t="inlineStr">
        <is>
          <t>Munsiyana</t>
        </is>
      </c>
      <c r="I4" s="7" t="n"/>
      <c r="J4" s="7" t="inlineStr">
        <is>
          <t>Owner Name</t>
        </is>
      </c>
      <c r="K4" s="7" t="n"/>
      <c r="L4" s="7" t="inlineStr">
        <is>
          <t>PAHUNCH</t>
        </is>
      </c>
      <c r="M4" s="7" t="inlineStr">
        <is>
          <t>EPOD STATUS</t>
        </is>
      </c>
      <c r="N4" s="7" t="inlineStr">
        <is>
          <t>BILL STATUS</t>
        </is>
      </c>
      <c r="O4" s="7" t="n"/>
      <c r="P4" s="7" t="inlineStr">
        <is>
          <t>Bill Ref</t>
        </is>
      </c>
    </row>
    <row r="5">
      <c r="A5" t="inlineStr">
        <is>
          <t>ADARSH ENTERPRISES</t>
        </is>
      </c>
      <c r="C5" t="inlineStr">
        <is>
          <t>ALAPUR</t>
        </is>
      </c>
      <c r="E5" t="inlineStr">
        <is>
          <t>UP2525CT4515</t>
        </is>
      </c>
      <c r="F5" t="inlineStr">
        <is>
          <t>BABU MISTRI</t>
        </is>
      </c>
      <c r="G5" s="9" t="n">
        <v>0</v>
      </c>
      <c r="H5" s="9" t="n">
        <v>0</v>
      </c>
      <c r="J5" t="inlineStr">
        <is>
          <t>BABU MISTRI</t>
        </is>
      </c>
      <c r="L5" t="inlineStr">
        <is>
          <t>YES</t>
        </is>
      </c>
      <c r="M5" t="inlineStr">
        <is>
          <t>YES</t>
        </is>
      </c>
      <c r="N5" t="inlineStr">
        <is>
          <t>PENDING</t>
        </is>
      </c>
      <c r="P5" t="inlineStr">
        <is>
          <t>3</t>
        </is>
      </c>
    </row>
    <row r="6">
      <c r="A6" t="inlineStr">
        <is>
          <t>AGARWAL CEMENT AGENCIES</t>
        </is>
      </c>
      <c r="C6" t="inlineStr">
        <is>
          <t>ALIGANJ (KHERI)</t>
        </is>
      </c>
      <c r="E6" t="inlineStr">
        <is>
          <t>UP25CT4514</t>
        </is>
      </c>
      <c r="F6" t="inlineStr">
        <is>
          <t>BABU MISTRI</t>
        </is>
      </c>
      <c r="G6" s="9" t="n">
        <v>500</v>
      </c>
      <c r="H6" s="9" t="n">
        <v>100</v>
      </c>
      <c r="J6" t="inlineStr">
        <is>
          <t>MUKESH JI</t>
        </is>
      </c>
      <c r="M6" t="inlineStr">
        <is>
          <t>NO</t>
        </is>
      </c>
      <c r="N6" t="inlineStr">
        <is>
          <t>PASSED</t>
        </is>
      </c>
      <c r="P6" t="inlineStr">
        <is>
          <t>5</t>
        </is>
      </c>
    </row>
    <row r="7">
      <c r="A7" t="inlineStr">
        <is>
          <t>AGARWAL CEMENT and IRON SUPLIERS</t>
        </is>
      </c>
      <c r="C7" t="inlineStr">
        <is>
          <t>AMRITPUR</t>
        </is>
      </c>
      <c r="E7" t="inlineStr">
        <is>
          <t>UP25AT8981</t>
        </is>
      </c>
      <c r="F7" t="inlineStr">
        <is>
          <t>MUKESH JI</t>
        </is>
      </c>
      <c r="G7" s="9" t="n">
        <v>500</v>
      </c>
      <c r="H7" s="9" t="n">
        <v>100</v>
      </c>
      <c r="J7" t="inlineStr">
        <is>
          <t>PAREEK JI</t>
        </is>
      </c>
      <c r="N7" t="inlineStr">
        <is>
          <t>PARTIAL</t>
        </is>
      </c>
      <c r="P7" t="inlineStr">
        <is>
          <t>6</t>
        </is>
      </c>
    </row>
    <row r="8">
      <c r="A8" t="inlineStr">
        <is>
          <t>AGARWAL TRADERS</t>
        </is>
      </c>
      <c r="C8" t="inlineStr">
        <is>
          <t>Amaur</t>
        </is>
      </c>
      <c r="E8" t="inlineStr">
        <is>
          <t>UP25BT7464</t>
        </is>
      </c>
      <c r="F8" t="inlineStr">
        <is>
          <t>PAREEK JI</t>
        </is>
      </c>
      <c r="G8" s="9" t="n">
        <v>600</v>
      </c>
      <c r="H8" s="9" t="n">
        <v>100</v>
      </c>
      <c r="J8" t="inlineStr">
        <is>
          <t>SANDEEP</t>
        </is>
      </c>
      <c r="P8" t="inlineStr">
        <is>
          <t>10</t>
        </is>
      </c>
    </row>
    <row r="9">
      <c r="A9" t="inlineStr">
        <is>
          <t>AL HIND ENTERPRISES</t>
        </is>
      </c>
      <c r="C9" t="inlineStr">
        <is>
          <t>BAGHAULI</t>
        </is>
      </c>
      <c r="E9" t="inlineStr">
        <is>
          <t>UP25CT7099</t>
        </is>
      </c>
      <c r="F9" t="inlineStr">
        <is>
          <t>PAREEK JI</t>
        </is>
      </c>
      <c r="G9" s="9" t="n">
        <v>600</v>
      </c>
      <c r="H9" s="9" t="n">
        <v>100</v>
      </c>
      <c r="J9" t="inlineStr">
        <is>
          <t>VINEET</t>
        </is>
      </c>
      <c r="P9" t="inlineStr">
        <is>
          <t>11</t>
        </is>
      </c>
    </row>
    <row r="10">
      <c r="A10" t="inlineStr">
        <is>
          <t>ALOK TRADERS</t>
        </is>
      </c>
      <c r="C10" t="inlineStr">
        <is>
          <t>BALLIA (SHJPUR)</t>
        </is>
      </c>
      <c r="E10" t="inlineStr">
        <is>
          <t>UP25DT1881</t>
        </is>
      </c>
      <c r="F10" t="inlineStr">
        <is>
          <t>PAREEK JI</t>
        </is>
      </c>
      <c r="G10" s="9" t="n">
        <v>700</v>
      </c>
      <c r="H10" s="9" t="n">
        <v>100</v>
      </c>
      <c r="P10" t="inlineStr">
        <is>
          <t>1 EPOD</t>
        </is>
      </c>
    </row>
    <row r="11">
      <c r="A11" t="inlineStr">
        <is>
          <t>AMAN CEMENT STORE</t>
        </is>
      </c>
      <c r="C11" t="inlineStr">
        <is>
          <t>BANDA</t>
        </is>
      </c>
      <c r="E11" t="inlineStr">
        <is>
          <t>UP25DT5668</t>
        </is>
      </c>
      <c r="F11" t="inlineStr">
        <is>
          <t>SANDEEP</t>
        </is>
      </c>
      <c r="G11" s="9" t="n">
        <v>400</v>
      </c>
      <c r="H11" s="9" t="n">
        <v>100</v>
      </c>
      <c r="P11" t="inlineStr">
        <is>
          <t>2 EPOD</t>
        </is>
      </c>
    </row>
    <row r="12">
      <c r="A12" t="inlineStr">
        <is>
          <t>ANKIT KUMAR VERMA</t>
        </is>
      </c>
      <c r="C12" t="inlineStr">
        <is>
          <t>BAREILLY</t>
        </is>
      </c>
      <c r="E12" t="inlineStr">
        <is>
          <t>UP25CT2572</t>
        </is>
      </c>
      <c r="F12" t="inlineStr">
        <is>
          <t>VINEET</t>
        </is>
      </c>
      <c r="G12" s="9" t="n">
        <v>500</v>
      </c>
      <c r="H12" s="9" t="n">
        <v>100</v>
      </c>
      <c r="P12" t="inlineStr">
        <is>
          <t>4 EPOD</t>
        </is>
      </c>
    </row>
    <row r="13">
      <c r="A13" t="inlineStr">
        <is>
          <t>APNA KISHAN KENDRA</t>
        </is>
      </c>
      <c r="C13" t="inlineStr">
        <is>
          <t>BARKHAN</t>
        </is>
      </c>
      <c r="E13" t="inlineStr">
        <is>
          <t>UP25JT8802</t>
        </is>
      </c>
      <c r="F13" t="inlineStr">
        <is>
          <t>VINEET</t>
        </is>
      </c>
      <c r="G13" s="9" t="n">
        <v>260</v>
      </c>
      <c r="H13" s="9" t="n">
        <v>50</v>
      </c>
      <c r="P13" t="inlineStr">
        <is>
          <t>7 EPOD</t>
        </is>
      </c>
    </row>
    <row r="14">
      <c r="A14" t="inlineStr">
        <is>
          <t>ASHOKA BUILDTECH</t>
        </is>
      </c>
      <c r="C14" t="inlineStr">
        <is>
          <t>BARKHERA JAIPAL</t>
        </is>
      </c>
      <c r="E14" t="inlineStr">
        <is>
          <t>UP25JT8803</t>
        </is>
      </c>
      <c r="F14" t="inlineStr">
        <is>
          <t>VINEET</t>
        </is>
      </c>
      <c r="G14" s="9" t="n">
        <v>260</v>
      </c>
      <c r="H14" s="9" t="n">
        <v>50</v>
      </c>
      <c r="P14" t="inlineStr">
        <is>
          <t>8 EPOD</t>
        </is>
      </c>
    </row>
    <row r="15">
      <c r="A15" t="inlineStr">
        <is>
          <t>BAJPAI KHAD BHANDAR</t>
        </is>
      </c>
      <c r="C15" t="inlineStr">
        <is>
          <t>BASUDHARAN JAGIR</t>
        </is>
      </c>
      <c r="E15" t="inlineStr">
        <is>
          <t>UP25JT8804</t>
        </is>
      </c>
      <c r="F15" t="inlineStr">
        <is>
          <t>VINEET</t>
        </is>
      </c>
      <c r="G15" s="9" t="n">
        <v>260</v>
      </c>
      <c r="H15" s="9" t="n">
        <v>50</v>
      </c>
      <c r="P15" t="inlineStr">
        <is>
          <t>9 EPOD</t>
        </is>
      </c>
    </row>
    <row r="16">
      <c r="A16" t="inlineStr">
        <is>
          <t>BHARAT BUILDERS</t>
        </is>
      </c>
      <c r="C16" t="inlineStr">
        <is>
          <t>BHAGWANTAPUR</t>
        </is>
      </c>
    </row>
    <row r="17">
      <c r="A17" t="inlineStr">
        <is>
          <t>BHARAT FERTILIZERS (SIS)</t>
        </is>
      </c>
      <c r="C17" t="inlineStr">
        <is>
          <t>BHOJIPURA</t>
        </is>
      </c>
    </row>
    <row r="18">
      <c r="A18" t="inlineStr">
        <is>
          <t>CEMENT HOUSE</t>
        </is>
      </c>
      <c r="C18" t="inlineStr">
        <is>
          <t>BHUTA</t>
        </is>
      </c>
    </row>
    <row r="19">
      <c r="A19" t="inlineStr">
        <is>
          <t>CHAMPA LAL GUPTA AND SONS</t>
        </is>
      </c>
      <c r="C19" t="inlineStr">
        <is>
          <t>BILGRAM</t>
        </is>
      </c>
    </row>
    <row r="20">
      <c r="A20" t="inlineStr">
        <is>
          <t>CHANDRA BUILDING MATERIAL</t>
        </is>
      </c>
      <c r="C20" t="inlineStr">
        <is>
          <t>BILSANDA</t>
        </is>
      </c>
    </row>
    <row r="21">
      <c r="A21" t="inlineStr">
        <is>
          <t>CHAWLA ISPAT PVT LTD</t>
        </is>
      </c>
      <c r="C21" t="inlineStr">
        <is>
          <t>BILSI</t>
        </is>
      </c>
    </row>
    <row r="22">
      <c r="A22" t="inlineStr">
        <is>
          <t>DEEP BUILDERS</t>
        </is>
      </c>
      <c r="C22" t="inlineStr">
        <is>
          <t>BISALPUR</t>
        </is>
      </c>
    </row>
    <row r="23">
      <c r="A23" t="inlineStr">
        <is>
          <t>DUA AGENCIES</t>
        </is>
      </c>
      <c r="C23" t="inlineStr">
        <is>
          <t>BUDAUN</t>
        </is>
      </c>
    </row>
    <row r="24">
      <c r="A24" t="inlineStr">
        <is>
          <t>DURGA BUILDING MATERIAL*</t>
        </is>
      </c>
      <c r="C24" t="inlineStr">
        <is>
          <t>CHANDAPUR</t>
        </is>
      </c>
    </row>
    <row r="25">
      <c r="A25" t="inlineStr">
        <is>
          <t>Devha Firm</t>
        </is>
      </c>
      <c r="C25" t="inlineStr">
        <is>
          <t>CHHIBRAMAU</t>
        </is>
      </c>
    </row>
    <row r="26">
      <c r="A26" t="inlineStr">
        <is>
          <t>GAFFAR CEMENT STORE</t>
        </is>
      </c>
      <c r="C26" t="inlineStr">
        <is>
          <t>DADIYA</t>
        </is>
      </c>
    </row>
    <row r="27">
      <c r="A27" t="inlineStr">
        <is>
          <t>GANI ENTERPRISES</t>
        </is>
      </c>
      <c r="C27" t="inlineStr">
        <is>
          <t>DATAGANJ</t>
        </is>
      </c>
    </row>
    <row r="28">
      <c r="A28" t="inlineStr">
        <is>
          <t>GARG CEMENT STORE</t>
        </is>
      </c>
      <c r="C28" t="inlineStr">
        <is>
          <t>DEVCHARA</t>
        </is>
      </c>
    </row>
    <row r="29">
      <c r="A29" t="inlineStr">
        <is>
          <t>GAURAV ENTERPRISES</t>
        </is>
      </c>
      <c r="C29" t="inlineStr">
        <is>
          <t>DHOURATANDA</t>
        </is>
      </c>
    </row>
    <row r="30">
      <c r="A30" t="inlineStr">
        <is>
          <t>GEETA TRADERS</t>
        </is>
      </c>
      <c r="C30" t="inlineStr">
        <is>
          <t>DUNKA</t>
        </is>
      </c>
    </row>
    <row r="31">
      <c r="A31" t="inlineStr">
        <is>
          <t>GOEL DISTRIBUTORS</t>
        </is>
      </c>
      <c r="C31" t="inlineStr">
        <is>
          <t>FAIZNAGAR</t>
        </is>
      </c>
    </row>
    <row r="32">
      <c r="A32" t="inlineStr">
        <is>
          <t>GUPTA AND COMPANY</t>
        </is>
      </c>
      <c r="C32" t="inlineStr">
        <is>
          <t>FAREEDPUR</t>
        </is>
      </c>
    </row>
    <row r="33">
      <c r="A33" t="inlineStr">
        <is>
          <t>HAMMAD ENTERPRISES</t>
        </is>
      </c>
      <c r="C33" t="inlineStr">
        <is>
          <t>FATEHGANJ EAST</t>
        </is>
      </c>
    </row>
    <row r="34">
      <c r="A34" t="inlineStr">
        <is>
          <t>J T STEEL TRADERS</t>
        </is>
      </c>
      <c r="C34" t="inlineStr">
        <is>
          <t>FATEHGANJ WEST</t>
        </is>
      </c>
    </row>
    <row r="35">
      <c r="A35" t="inlineStr">
        <is>
          <t>JAI BHARAT AGRO AGENCY</t>
        </is>
      </c>
      <c r="C35" t="inlineStr">
        <is>
          <t>GARIARANGEEN</t>
        </is>
      </c>
    </row>
    <row r="36">
      <c r="A36" t="inlineStr">
        <is>
          <t>JAI BHARAT ENTERPRISES (SIS)</t>
        </is>
      </c>
      <c r="C36" t="inlineStr">
        <is>
          <t>HAFIJGANJ</t>
        </is>
      </c>
    </row>
    <row r="37">
      <c r="A37" t="inlineStr">
        <is>
          <t>JAI GURDEV TRADERS</t>
        </is>
      </c>
      <c r="C37" t="inlineStr">
        <is>
          <t>J.B GANJ</t>
        </is>
      </c>
    </row>
    <row r="38">
      <c r="A38" t="inlineStr">
        <is>
          <t>JANTA CEMENT AGENCY</t>
        </is>
      </c>
      <c r="C38" t="inlineStr">
        <is>
          <t>JAFARPUR</t>
        </is>
      </c>
    </row>
    <row r="39">
      <c r="A39" t="inlineStr">
        <is>
          <t>JUNEJA TRADERS</t>
        </is>
      </c>
      <c r="C39" t="inlineStr">
        <is>
          <t>KACHAUNA PATSENI</t>
        </is>
      </c>
    </row>
    <row r="40">
      <c r="A40" t="inlineStr">
        <is>
          <t>KANAN TRADERS</t>
        </is>
      </c>
      <c r="C40" t="inlineStr">
        <is>
          <t>KANNAUJ</t>
        </is>
      </c>
    </row>
    <row r="41">
      <c r="A41" t="inlineStr">
        <is>
          <t>KANCHAN TRADERS</t>
        </is>
      </c>
      <c r="C41" t="inlineStr">
        <is>
          <t>KANTH (NP)</t>
        </is>
      </c>
    </row>
    <row r="42">
      <c r="A42" t="inlineStr">
        <is>
          <t>KANNOUJIYA CEMENT CENTRE</t>
        </is>
      </c>
      <c r="C42" t="inlineStr">
        <is>
          <t>KATHGODAM</t>
        </is>
      </c>
    </row>
    <row r="43">
      <c r="A43" t="inlineStr">
        <is>
          <t>KANNOUJIYA ENTERPRISES</t>
        </is>
      </c>
      <c r="C43" t="inlineStr">
        <is>
          <t>KATRA</t>
        </is>
      </c>
    </row>
    <row r="44">
      <c r="A44" t="inlineStr">
        <is>
          <t>M S TRADING COMPANY (SIS)</t>
        </is>
      </c>
      <c r="C44" t="inlineStr">
        <is>
          <t>KESHARPUR</t>
        </is>
      </c>
    </row>
    <row r="45">
      <c r="A45" t="inlineStr">
        <is>
          <t>MADAAN AGRICULTURE STORE</t>
        </is>
      </c>
      <c r="C45" t="inlineStr">
        <is>
          <t>KHUDAGANJ (NP)</t>
        </is>
      </c>
    </row>
    <row r="46">
      <c r="A46" t="inlineStr">
        <is>
          <t>MALBROS INTERNATIONAL PVT LTD</t>
        </is>
      </c>
      <c r="C46" t="inlineStr">
        <is>
          <t>KHUTAR KHAS</t>
        </is>
      </c>
    </row>
    <row r="47">
      <c r="A47" t="inlineStr">
        <is>
          <t>MALIK TRADERS</t>
        </is>
      </c>
      <c r="C47" t="inlineStr">
        <is>
          <t>KICHHA</t>
        </is>
      </c>
    </row>
    <row r="48">
      <c r="A48" t="inlineStr">
        <is>
          <t>MAURIA BUILDING MATERIAL</t>
        </is>
      </c>
      <c r="C48" t="inlineStr">
        <is>
          <t>LAKHA</t>
        </is>
      </c>
    </row>
    <row r="49">
      <c r="A49" t="inlineStr">
        <is>
          <t>MAYA MARKETING AGENCY</t>
        </is>
      </c>
      <c r="C49" t="inlineStr">
        <is>
          <t>LAKHIMPUR</t>
        </is>
      </c>
    </row>
    <row r="50">
      <c r="A50" t="inlineStr">
        <is>
          <t>MISHRA IRON AND CEMENT STORE</t>
        </is>
      </c>
      <c r="C50" t="inlineStr">
        <is>
          <t>MANPUR( BISALPUR)</t>
        </is>
      </c>
    </row>
    <row r="51">
      <c r="A51" t="inlineStr">
        <is>
          <t>MITTAL FERTILIZERS</t>
        </is>
      </c>
      <c r="C51" t="inlineStr">
        <is>
          <t>MATHURAPUR</t>
        </is>
      </c>
    </row>
    <row r="52">
      <c r="A52" t="inlineStr">
        <is>
          <t>MOHD. AYUB TRADERS</t>
        </is>
      </c>
      <c r="C52" t="inlineStr">
        <is>
          <t>MAVAI KAZIYAN</t>
        </is>
      </c>
    </row>
    <row r="53">
      <c r="A53" t="inlineStr">
        <is>
          <t>NARIYAWAL CEMENT STORE</t>
        </is>
      </c>
      <c r="C53" t="inlineStr">
        <is>
          <t>MEERGANJ</t>
        </is>
      </c>
    </row>
    <row r="54">
      <c r="A54" t="inlineStr">
        <is>
          <t>NAVEEN LOHA BHANDAR</t>
        </is>
      </c>
      <c r="C54" t="inlineStr">
        <is>
          <t>MILAK</t>
        </is>
      </c>
    </row>
    <row r="55">
      <c r="A55" t="inlineStr">
        <is>
          <t>NEW JAI AMBEY TRADERS</t>
        </is>
      </c>
      <c r="C55" t="inlineStr">
        <is>
          <t>MIRANPUR KATRA</t>
        </is>
      </c>
    </row>
    <row r="56">
      <c r="A56" t="inlineStr">
        <is>
          <t>NEW VERMA TRADING COMPANY</t>
        </is>
      </c>
      <c r="C56" t="inlineStr">
        <is>
          <t>MIRZAPUR (BAREILY)</t>
        </is>
      </c>
    </row>
    <row r="57">
      <c r="A57" t="inlineStr">
        <is>
          <t>OM PRAKASH KAMAL KUMAR</t>
        </is>
      </c>
      <c r="C57" t="inlineStr">
        <is>
          <t>MITAULI</t>
        </is>
      </c>
    </row>
    <row r="58">
      <c r="A58" t="inlineStr">
        <is>
          <t>OM TRIDEV ENTERPRISES</t>
        </is>
      </c>
      <c r="C58" t="inlineStr">
        <is>
          <t>MOHAMMADI</t>
        </is>
      </c>
    </row>
    <row r="59">
      <c r="A59" t="inlineStr">
        <is>
          <t>PAL TRADERS</t>
        </is>
      </c>
      <c r="C59" t="inlineStr">
        <is>
          <t>MUKARRAMPUR</t>
        </is>
      </c>
    </row>
    <row r="60">
      <c r="A60" t="inlineStr">
        <is>
          <t>PAWAN TRADERS</t>
        </is>
      </c>
      <c r="C60" t="inlineStr">
        <is>
          <t>NADELI</t>
        </is>
      </c>
    </row>
    <row r="61">
      <c r="A61" t="inlineStr">
        <is>
          <t>PRABAL TRADERS</t>
        </is>
      </c>
      <c r="C61" t="inlineStr">
        <is>
          <t>NAHIL KHAS</t>
        </is>
      </c>
    </row>
    <row r="62">
      <c r="A62" t="inlineStr">
        <is>
          <t>PRABHU KRIPA TRADERS</t>
        </is>
      </c>
      <c r="C62" t="inlineStr">
        <is>
          <t>NARAIN NAGLA</t>
        </is>
      </c>
    </row>
    <row r="63">
      <c r="A63" t="inlineStr">
        <is>
          <t>PRAKASH TRADING COMPANY</t>
        </is>
      </c>
      <c r="C63" t="inlineStr">
        <is>
          <t>NAWAB GANJ - RAMP</t>
        </is>
      </c>
    </row>
    <row r="64">
      <c r="A64" t="inlineStr">
        <is>
          <t>PRAMOD KANT AMIT KUMAR</t>
        </is>
      </c>
      <c r="C64" t="inlineStr">
        <is>
          <t>NAWABGANJ</t>
        </is>
      </c>
    </row>
    <row r="65">
      <c r="A65" t="inlineStr">
        <is>
          <t>PUNJAB TRADERS</t>
        </is>
      </c>
      <c r="C65" t="inlineStr">
        <is>
          <t>NAWADIA JHADA</t>
        </is>
      </c>
    </row>
    <row r="66">
      <c r="A66" t="inlineStr">
        <is>
          <t>R K CEMENT AGENCIES</t>
        </is>
      </c>
      <c r="C66" t="inlineStr">
        <is>
          <t>NIGOHI</t>
        </is>
      </c>
    </row>
    <row r="67">
      <c r="A67" t="inlineStr">
        <is>
          <t>R.C. ENTERPRISES</t>
        </is>
      </c>
      <c r="C67" t="inlineStr">
        <is>
          <t>PACHAUNI</t>
        </is>
      </c>
    </row>
    <row r="68">
      <c r="A68" t="inlineStr">
        <is>
          <t>RADHEY KRISHNA TRADERS</t>
        </is>
      </c>
      <c r="C68" t="inlineStr">
        <is>
          <t>PADARIYATULA</t>
        </is>
      </c>
    </row>
    <row r="69">
      <c r="A69" t="inlineStr">
        <is>
          <t>RAFI KHAN BUILDING MATERIAL</t>
        </is>
      </c>
      <c r="C69" t="inlineStr">
        <is>
          <t>PALIYA KALAN</t>
        </is>
      </c>
    </row>
    <row r="70">
      <c r="A70" t="inlineStr">
        <is>
          <t>S M ENTERPRISES-SIS</t>
        </is>
      </c>
      <c r="C70" t="inlineStr">
        <is>
          <t>PAREWA VAISHYA</t>
        </is>
      </c>
    </row>
    <row r="71">
      <c r="A71" t="inlineStr">
        <is>
          <t>S S TRADERS AND SUPPLIERS</t>
        </is>
      </c>
      <c r="C71" t="inlineStr">
        <is>
          <t>PARSA KHERA</t>
        </is>
      </c>
    </row>
    <row r="72">
      <c r="A72" t="inlineStr">
        <is>
          <t>S.P TRADERS</t>
        </is>
      </c>
      <c r="C72" t="inlineStr">
        <is>
          <t>PHOOLBEHAD</t>
        </is>
      </c>
    </row>
    <row r="73">
      <c r="A73" t="inlineStr">
        <is>
          <t>SAGAR TRADERS</t>
        </is>
      </c>
      <c r="C73" t="inlineStr">
        <is>
          <t>PILIBHIT</t>
        </is>
      </c>
    </row>
    <row r="74">
      <c r="A74" t="inlineStr">
        <is>
          <t>SHAILA ENTERPRISES</t>
        </is>
      </c>
      <c r="C74" t="inlineStr">
        <is>
          <t>POWAYAN</t>
        </is>
      </c>
    </row>
    <row r="75">
      <c r="A75" t="inlineStr">
        <is>
          <t>SHIV SHAKTI TRADERS</t>
        </is>
      </c>
      <c r="C75" t="inlineStr">
        <is>
          <t>RAJAU PARASPUR</t>
        </is>
      </c>
    </row>
    <row r="76">
      <c r="A76" t="inlineStr">
        <is>
          <t>SHIV TRADING COMPANY</t>
        </is>
      </c>
      <c r="C76" t="inlineStr">
        <is>
          <t>RITHAURA</t>
        </is>
      </c>
    </row>
    <row r="77">
      <c r="A77" t="inlineStr">
        <is>
          <t>SHIVAM STEELS</t>
        </is>
      </c>
      <c r="C77" t="inlineStr">
        <is>
          <t>ROZA</t>
        </is>
      </c>
    </row>
    <row r="78">
      <c r="A78" t="inlineStr">
        <is>
          <t>SHRADHA TRADERS</t>
        </is>
      </c>
      <c r="C78" t="inlineStr">
        <is>
          <t>RUDEINA GHANGHOLI</t>
        </is>
      </c>
    </row>
    <row r="79">
      <c r="A79" t="inlineStr">
        <is>
          <t>SHREE VASUNDHARA INFRAPROMOTERS</t>
        </is>
      </c>
      <c r="C79" t="inlineStr">
        <is>
          <t>RUDRAPUR</t>
        </is>
      </c>
    </row>
    <row r="80">
      <c r="A80" t="inlineStr">
        <is>
          <t>SHRI NAVAL JI TRADERS</t>
        </is>
      </c>
      <c r="C80" t="inlineStr">
        <is>
          <t>RUPAPUR (HARDOI)</t>
        </is>
      </c>
    </row>
    <row r="81">
      <c r="A81" t="inlineStr">
        <is>
          <t>SHYAM NARAIN RAMESH KUMAR AND  SONS</t>
        </is>
      </c>
      <c r="C81" t="inlineStr">
        <is>
          <t>Rajepur</t>
        </is>
      </c>
    </row>
    <row r="82">
      <c r="A82" t="inlineStr">
        <is>
          <t>SINGH TRADERS</t>
        </is>
      </c>
      <c r="C82" t="inlineStr">
        <is>
          <t>SAHORA</t>
        </is>
      </c>
    </row>
    <row r="83">
      <c r="A83" t="inlineStr">
        <is>
          <t>SRI RAM IRON and CEMENT MERCHANT</t>
        </is>
      </c>
      <c r="C83" t="inlineStr">
        <is>
          <t>SAINTHAL</t>
        </is>
      </c>
    </row>
    <row r="84">
      <c r="A84" t="inlineStr">
        <is>
          <t>SUBHAM TRADERS</t>
        </is>
      </c>
      <c r="C84" t="inlineStr">
        <is>
          <t>SAMERER</t>
        </is>
      </c>
    </row>
    <row r="85">
      <c r="A85" t="inlineStr">
        <is>
          <t>SUPPRIOR IRON STORE</t>
        </is>
      </c>
      <c r="C85" t="inlineStr">
        <is>
          <t>SHAHBAD (HARDOI)</t>
        </is>
      </c>
    </row>
    <row r="86">
      <c r="A86" t="inlineStr">
        <is>
          <t>SWASTIK ENTERPRISES</t>
        </is>
      </c>
      <c r="C86" t="inlineStr">
        <is>
          <t>SHAHBAZ NAGAR</t>
        </is>
      </c>
    </row>
    <row r="87">
      <c r="A87" t="inlineStr">
        <is>
          <t>TAMEER TRADERS</t>
        </is>
      </c>
      <c r="C87" t="inlineStr">
        <is>
          <t>SHAHJHANPUR</t>
        </is>
      </c>
    </row>
    <row r="88">
      <c r="A88" t="inlineStr">
        <is>
          <t>VIJAY TRADERS</t>
        </is>
      </c>
      <c r="C88" t="inlineStr">
        <is>
          <t>SHAI</t>
        </is>
      </c>
    </row>
    <row r="89">
      <c r="C89" t="inlineStr">
        <is>
          <t>SHERGARH (BLY)</t>
        </is>
      </c>
    </row>
    <row r="90">
      <c r="C90" t="inlineStr">
        <is>
          <t>SHISHGARH</t>
        </is>
      </c>
    </row>
    <row r="91">
      <c r="C91" t="inlineStr">
        <is>
          <t>SIKANDARABAD</t>
        </is>
      </c>
    </row>
    <row r="92">
      <c r="C92" t="inlineStr">
        <is>
          <t>SINGHAI KALA</t>
        </is>
      </c>
    </row>
    <row r="93">
      <c r="C93" t="inlineStr">
        <is>
          <t>SITAPUR</t>
        </is>
      </c>
    </row>
    <row r="94">
      <c r="C94" t="inlineStr">
        <is>
          <t>TANDIYAWAN</t>
        </is>
      </c>
    </row>
    <row r="95">
      <c r="C95" t="inlineStr">
        <is>
          <t>TILHAR</t>
        </is>
      </c>
    </row>
    <row r="96">
      <c r="C96" t="inlineStr">
        <is>
          <t>TILMAS</t>
        </is>
      </c>
    </row>
    <row r="97">
      <c r="C97" t="inlineStr">
        <is>
          <t>TISUA</t>
        </is>
      </c>
    </row>
    <row r="98">
      <c r="C98" t="inlineStr">
        <is>
          <t>TUMURKHI</t>
        </is>
      </c>
    </row>
    <row r="99">
      <c r="C99" t="inlineStr">
        <is>
          <t>Tikri</t>
        </is>
      </c>
    </row>
    <row r="100">
      <c r="C100" t="inlineStr">
        <is>
          <t>UJHANI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2026-06-28T12:27:02Z</dcterms:created>
  <dcterms:modified xsi:type="dcterms:W3CDTF">2026-06-28T12:27:02Z</dcterms:modified>
</cp:coreProperties>
</file>